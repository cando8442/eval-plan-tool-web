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0.85.8.17\share\NAS\10.85.8.17\부별공유\(2)교무행정부\★2026_교수학습_및_평가계획서(1학기)\1학년\"/>
    </mc:Choice>
  </mc:AlternateContent>
  <xr:revisionPtr revIDLastSave="0" documentId="13_ncr:1_{D9D49B1B-CC46-4372-A2E9-FD453C3FA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★계획★(여기에 작성 요망)" sheetId="6" r:id="rId1"/>
    <sheet name="예시" sheetId="11" r:id="rId2"/>
    <sheet name="고사계참고용(작업금지)" sheetId="12" r:id="rId3"/>
  </sheets>
  <definedNames>
    <definedName name="_xlnm._FilterDatabase" localSheetId="0" hidden="1">'★계획★(여기에 작성 요망)'!$A$1:$Z$6</definedName>
    <definedName name="_xlnm._FilterDatabase" localSheetId="2" hidden="1">'고사계참고용(작업금지)'!$A$1:$Z$6</definedName>
    <definedName name="_xlnm._FilterDatabase" localSheetId="1" hidden="1">예시!$A$1:$Z$6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11" l="1"/>
  <c r="A10" i="11"/>
  <c r="X9" i="12"/>
  <c r="W9" i="12"/>
  <c r="V9" i="12"/>
  <c r="U9" i="12"/>
  <c r="T9" i="12"/>
  <c r="Q3" i="12" l="1"/>
  <c r="R3" i="12" l="1"/>
  <c r="AB6" i="12" l="1"/>
  <c r="T10" i="12" s="1"/>
  <c r="AC6" i="12"/>
  <c r="U10" i="12" s="1"/>
  <c r="AD6" i="12"/>
  <c r="V10" i="12" s="1"/>
  <c r="AE6" i="12"/>
  <c r="W10" i="12" s="1"/>
  <c r="AF6" i="12"/>
  <c r="X10" i="12" s="1"/>
  <c r="AA6" i="12"/>
  <c r="S10" i="12" s="1"/>
  <c r="Q5" i="12"/>
  <c r="R5" i="12"/>
  <c r="S5" i="12"/>
  <c r="T5" i="12"/>
  <c r="U5" i="12"/>
  <c r="V5" i="12"/>
  <c r="W5" i="12"/>
  <c r="X5" i="12"/>
  <c r="Y5" i="12"/>
  <c r="Q6" i="12"/>
  <c r="R6" i="12"/>
  <c r="S6" i="12"/>
  <c r="T6" i="12"/>
  <c r="U6" i="12"/>
  <c r="V6" i="12"/>
  <c r="W6" i="12"/>
  <c r="X6" i="12"/>
  <c r="Y6" i="12"/>
  <c r="Q4" i="12"/>
  <c r="R4" i="12"/>
  <c r="S4" i="12"/>
  <c r="T4" i="12"/>
  <c r="U4" i="12"/>
  <c r="V4" i="12"/>
  <c r="W4" i="12"/>
  <c r="X4" i="12"/>
  <c r="Y4" i="12"/>
  <c r="S3" i="12"/>
  <c r="T3" i="12"/>
  <c r="U3" i="12"/>
  <c r="V3" i="12"/>
  <c r="W3" i="12"/>
  <c r="X3" i="12"/>
  <c r="Y3" i="12"/>
  <c r="A6" i="12"/>
  <c r="A10" i="12" s="1"/>
  <c r="A15" i="12" s="1"/>
  <c r="B6" i="12"/>
  <c r="B10" i="12" s="1"/>
  <c r="B15" i="12" s="1"/>
  <c r="C6" i="12"/>
  <c r="C10" i="12" s="1"/>
  <c r="C15" i="12" s="1"/>
  <c r="D6" i="12"/>
  <c r="D10" i="12" s="1"/>
  <c r="D15" i="12" s="1"/>
  <c r="E6" i="12"/>
  <c r="E10" i="12" s="1"/>
  <c r="E15" i="12" s="1"/>
  <c r="F6" i="12"/>
  <c r="F10" i="12" s="1"/>
  <c r="G6" i="12"/>
  <c r="G10" i="12" s="1"/>
  <c r="H6" i="12"/>
  <c r="H10" i="12" s="1"/>
  <c r="J6" i="12"/>
  <c r="J10" i="12" s="1"/>
  <c r="K6" i="12"/>
  <c r="K10" i="12" s="1"/>
  <c r="L6" i="12"/>
  <c r="L10" i="12" s="1"/>
  <c r="M6" i="12"/>
  <c r="M10" i="12" s="1"/>
  <c r="O6" i="12"/>
  <c r="O10" i="12" s="1"/>
  <c r="K15" i="12" l="1"/>
  <c r="I15" i="12"/>
  <c r="L15" i="12"/>
  <c r="M15" i="12"/>
  <c r="J15" i="12"/>
  <c r="G15" i="12"/>
  <c r="F15" i="12"/>
  <c r="N15" i="12"/>
  <c r="H15" i="12"/>
  <c r="Q10" i="12"/>
  <c r="P10" i="12"/>
  <c r="A13" i="11"/>
  <c r="AG6" i="11"/>
  <c r="A11" i="11" s="1"/>
  <c r="Z6" i="11"/>
  <c r="A14" i="11" s="1"/>
  <c r="N6" i="11"/>
  <c r="I6" i="11"/>
  <c r="I6" i="6"/>
  <c r="I6" i="12" s="1"/>
  <c r="I10" i="12" s="1"/>
  <c r="N6" i="6"/>
  <c r="N6" i="12" s="1"/>
  <c r="N10" i="12" s="1"/>
  <c r="C13" i="6"/>
  <c r="A13" i="6" s="1"/>
  <c r="Z6" i="6"/>
  <c r="C14" i="6" s="1"/>
  <c r="C10" i="6" l="1"/>
  <c r="A10" i="6" s="1"/>
  <c r="C12" i="6"/>
  <c r="A12" i="6" s="1"/>
  <c r="A14" i="6"/>
  <c r="Z6" i="12"/>
  <c r="AG6" i="6"/>
  <c r="AG6" i="12" l="1"/>
  <c r="Y10" i="12" s="1"/>
  <c r="C11" i="6"/>
  <c r="A11" i="6" s="1"/>
  <c r="O15" i="12"/>
  <c r="R1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CSS</author>
  </authors>
  <commentList>
    <comment ref="P3" authorId="0" shapeId="0" xr:uid="{00000000-0006-0000-0000-000001000000}">
      <text>
        <r>
          <rPr>
            <b/>
            <sz val="11"/>
            <color indexed="81"/>
            <rFont val="Tahoma"/>
            <family val="2"/>
          </rPr>
          <t>[</t>
        </r>
        <r>
          <rPr>
            <b/>
            <sz val="11"/>
            <color indexed="81"/>
            <rFont val="돋움"/>
            <family val="3"/>
            <charset val="129"/>
          </rPr>
          <t>유형선택</t>
        </r>
        <r>
          <rPr>
            <b/>
            <sz val="11"/>
            <color indexed="81"/>
            <rFont val="Tahoma"/>
            <family val="2"/>
          </rPr>
          <t xml:space="preserve">] </t>
        </r>
        <r>
          <rPr>
            <b/>
            <sz val="11"/>
            <color indexed="81"/>
            <rFont val="돋움"/>
            <family val="3"/>
            <charset val="129"/>
          </rPr>
          <t>시는</t>
        </r>
        <r>
          <rPr>
            <b/>
            <sz val="11"/>
            <color indexed="81"/>
            <rFont val="Tahoma"/>
            <family val="2"/>
          </rPr>
          <t xml:space="preserve"> [</t>
        </r>
        <r>
          <rPr>
            <b/>
            <sz val="11"/>
            <color indexed="81"/>
            <rFont val="돋움"/>
            <family val="3"/>
            <charset val="129"/>
          </rPr>
          <t>서논술형</t>
        </r>
        <r>
          <rPr>
            <b/>
            <sz val="11"/>
            <color indexed="81"/>
            <rFont val="Tahoma"/>
            <family val="2"/>
          </rPr>
          <t>]</t>
        </r>
        <r>
          <rPr>
            <b/>
            <sz val="11"/>
            <color indexed="81"/>
            <rFont val="돋움"/>
            <family val="3"/>
            <charset val="129"/>
          </rPr>
          <t>이나</t>
        </r>
        <r>
          <rPr>
            <b/>
            <sz val="11"/>
            <color indexed="81"/>
            <rFont val="Tahoma"/>
            <family val="2"/>
          </rPr>
          <t xml:space="preserve"> [</t>
        </r>
        <r>
          <rPr>
            <b/>
            <sz val="11"/>
            <color indexed="81"/>
            <rFont val="돋움"/>
            <family val="3"/>
            <charset val="129"/>
          </rPr>
          <t>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유형</t>
        </r>
        <r>
          <rPr>
            <b/>
            <sz val="11"/>
            <color indexed="81"/>
            <rFont val="Tahoma"/>
            <family val="2"/>
          </rPr>
          <t>]</t>
        </r>
        <r>
          <rPr>
            <b/>
            <sz val="11"/>
            <color indexed="81"/>
            <rFont val="돋움"/>
            <family val="3"/>
            <charset val="129"/>
          </rPr>
          <t>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선택하세요</t>
        </r>
        <r>
          <rPr>
            <b/>
            <sz val="11"/>
            <color indexed="81"/>
            <rFont val="Tahoma"/>
            <family val="2"/>
          </rPr>
          <t xml:space="preserve">.
- </t>
        </r>
        <r>
          <rPr>
            <b/>
            <sz val="11"/>
            <color indexed="81"/>
            <rFont val="돋움"/>
            <family val="3"/>
            <charset val="129"/>
          </rPr>
          <t>유형이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없는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셀은</t>
        </r>
        <r>
          <rPr>
            <b/>
            <sz val="11"/>
            <color indexed="81"/>
            <rFont val="Tahoma"/>
            <family val="2"/>
          </rPr>
          <t xml:space="preserve"> Delete</t>
        </r>
        <r>
          <rPr>
            <b/>
            <sz val="11"/>
            <color indexed="81"/>
            <rFont val="돋움"/>
            <family val="3"/>
            <charset val="129"/>
          </rPr>
          <t>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지워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주세요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P4" authorId="0" shapeId="0" xr:uid="{00000000-0006-0000-0000-000002000000}">
      <text>
        <r>
          <rPr>
            <b/>
            <sz val="12"/>
            <color indexed="81"/>
            <rFont val="돋움"/>
            <family val="3"/>
            <charset val="129"/>
          </rPr>
          <t>[영역명] 입력 시 그냥 연속적으로 입력만 하시면 됩니다(Alt+엔터)를 눌러서 줄바꿈을 하지 마세요.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CSS</author>
  </authors>
  <commentList>
    <comment ref="P3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[</t>
        </r>
        <r>
          <rPr>
            <b/>
            <sz val="11"/>
            <color indexed="81"/>
            <rFont val="돋움"/>
            <family val="3"/>
            <charset val="129"/>
          </rPr>
          <t>유형선택</t>
        </r>
        <r>
          <rPr>
            <b/>
            <sz val="11"/>
            <color indexed="81"/>
            <rFont val="Tahoma"/>
            <family val="2"/>
          </rPr>
          <t xml:space="preserve">] </t>
        </r>
        <r>
          <rPr>
            <b/>
            <sz val="11"/>
            <color indexed="81"/>
            <rFont val="돋움"/>
            <family val="3"/>
            <charset val="129"/>
          </rPr>
          <t>시는</t>
        </r>
        <r>
          <rPr>
            <b/>
            <sz val="11"/>
            <color indexed="81"/>
            <rFont val="Tahoma"/>
            <family val="2"/>
          </rPr>
          <t xml:space="preserve"> [</t>
        </r>
        <r>
          <rPr>
            <b/>
            <sz val="11"/>
            <color indexed="81"/>
            <rFont val="돋움"/>
            <family val="3"/>
            <charset val="129"/>
          </rPr>
          <t>서논술형</t>
        </r>
        <r>
          <rPr>
            <b/>
            <sz val="11"/>
            <color indexed="81"/>
            <rFont val="Tahoma"/>
            <family val="2"/>
          </rPr>
          <t>]</t>
        </r>
        <r>
          <rPr>
            <b/>
            <sz val="11"/>
            <color indexed="81"/>
            <rFont val="돋움"/>
            <family val="3"/>
            <charset val="129"/>
          </rPr>
          <t>이나</t>
        </r>
        <r>
          <rPr>
            <b/>
            <sz val="11"/>
            <color indexed="81"/>
            <rFont val="Tahoma"/>
            <family val="2"/>
          </rPr>
          <t xml:space="preserve"> [</t>
        </r>
        <r>
          <rPr>
            <b/>
            <sz val="11"/>
            <color indexed="81"/>
            <rFont val="돋움"/>
            <family val="3"/>
            <charset val="129"/>
          </rPr>
          <t>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유형</t>
        </r>
        <r>
          <rPr>
            <b/>
            <sz val="11"/>
            <color indexed="81"/>
            <rFont val="Tahoma"/>
            <family val="2"/>
          </rPr>
          <t>]</t>
        </r>
        <r>
          <rPr>
            <b/>
            <sz val="11"/>
            <color indexed="81"/>
            <rFont val="돋움"/>
            <family val="3"/>
            <charset val="129"/>
          </rPr>
          <t>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선택하세요</t>
        </r>
        <r>
          <rPr>
            <b/>
            <sz val="11"/>
            <color indexed="81"/>
            <rFont val="Tahoma"/>
            <family val="2"/>
          </rPr>
          <t xml:space="preserve">.
- </t>
        </r>
        <r>
          <rPr>
            <b/>
            <sz val="11"/>
            <color indexed="81"/>
            <rFont val="돋움"/>
            <family val="3"/>
            <charset val="129"/>
          </rPr>
          <t>유형이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없는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셀은</t>
        </r>
        <r>
          <rPr>
            <b/>
            <sz val="11"/>
            <color indexed="81"/>
            <rFont val="Tahoma"/>
            <family val="2"/>
          </rPr>
          <t xml:space="preserve"> Delete</t>
        </r>
        <r>
          <rPr>
            <b/>
            <sz val="11"/>
            <color indexed="81"/>
            <rFont val="돋움"/>
            <family val="3"/>
            <charset val="129"/>
          </rPr>
          <t>키로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지워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주세요</t>
        </r>
        <r>
          <rPr>
            <b/>
            <sz val="11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<sst xmlns="http://schemas.openxmlformats.org/spreadsheetml/2006/main" count="141" uniqueCount="71">
  <si>
    <t>수행평가</t>
  </si>
  <si>
    <t>학년</t>
    <phoneticPr fontId="1" type="noConversion"/>
  </si>
  <si>
    <t>과목명</t>
    <phoneticPr fontId="1" type="noConversion"/>
  </si>
  <si>
    <t>단위수</t>
    <phoneticPr fontId="1" type="noConversion"/>
  </si>
  <si>
    <t>작성자</t>
    <phoneticPr fontId="1" type="noConversion"/>
  </si>
  <si>
    <t>과목담당
전체교사명단</t>
    <phoneticPr fontId="1" type="noConversion"/>
  </si>
  <si>
    <t>지필평가</t>
    <phoneticPr fontId="1" type="noConversion"/>
  </si>
  <si>
    <t>중간고사</t>
    <phoneticPr fontId="1" type="noConversion"/>
  </si>
  <si>
    <t>기말고사</t>
    <phoneticPr fontId="1" type="noConversion"/>
  </si>
  <si>
    <t>수행평가 성취기준 점수</t>
  </si>
  <si>
    <t>선택형</t>
    <phoneticPr fontId="1" type="noConversion"/>
  </si>
  <si>
    <t>성취평가
방식</t>
    <phoneticPr fontId="1" type="noConversion"/>
  </si>
  <si>
    <t>단답형
완성형</t>
    <phoneticPr fontId="1" type="noConversion"/>
  </si>
  <si>
    <t xml:space="preserve"> 영역명</t>
    <phoneticPr fontId="1" type="noConversion"/>
  </si>
  <si>
    <t>반영비율
(%)</t>
    <phoneticPr fontId="1" type="noConversion"/>
  </si>
  <si>
    <t>서논술형</t>
  </si>
  <si>
    <t>서논술형</t>
    <phoneticPr fontId="1" type="noConversion"/>
  </si>
  <si>
    <t>학기말
반영비율
(%)</t>
    <phoneticPr fontId="1" type="noConversion"/>
  </si>
  <si>
    <t>합계
(점)</t>
    <phoneticPr fontId="1" type="noConversion"/>
  </si>
  <si>
    <t>확인사항</t>
    <phoneticPr fontId="1" type="noConversion"/>
  </si>
  <si>
    <t>홍길동</t>
    <phoneticPr fontId="1" type="noConversion"/>
  </si>
  <si>
    <t>학기말
반영비율
합계
(%)</t>
    <phoneticPr fontId="1" type="noConversion"/>
  </si>
  <si>
    <r>
      <t xml:space="preserve">  * [</t>
    </r>
    <r>
      <rPr>
        <b/>
        <sz val="14"/>
        <color rgb="FFFF0000"/>
        <rFont val="돋움"/>
        <family val="3"/>
        <charset val="129"/>
      </rPr>
      <t>필수 수정 요망</t>
    </r>
    <r>
      <rPr>
        <b/>
        <sz val="14"/>
        <color indexed="8"/>
        <rFont val="돋움"/>
        <family val="3"/>
        <charset val="129"/>
      </rPr>
      <t xml:space="preserve">] 아래에 노란 영역에 메시지가 나오면 </t>
    </r>
    <r>
      <rPr>
        <b/>
        <sz val="14"/>
        <color rgb="FFFF0000"/>
        <rFont val="돋움"/>
        <family val="3"/>
        <charset val="129"/>
      </rPr>
      <t>반드시 수정</t>
    </r>
    <r>
      <rPr>
        <b/>
        <sz val="14"/>
        <color indexed="8"/>
        <rFont val="돋움"/>
        <family val="3"/>
        <charset val="129"/>
      </rPr>
      <t>해야 합니다.</t>
    </r>
    <phoneticPr fontId="1" type="noConversion"/>
  </si>
  <si>
    <t>공지</t>
    <phoneticPr fontId="1" type="noConversion"/>
  </si>
  <si>
    <r>
      <t xml:space="preserve"> </t>
    </r>
    <r>
      <rPr>
        <b/>
        <sz val="11.5"/>
        <color rgb="FFFF0000"/>
        <rFont val="돋움"/>
        <family val="3"/>
        <charset val="129"/>
      </rPr>
      <t xml:space="preserve">모든 내용이 </t>
    </r>
    <r>
      <rPr>
        <b/>
        <sz val="14"/>
        <color rgb="FFFF0000"/>
        <rFont val="돋움"/>
        <family val="3"/>
        <charset val="129"/>
      </rPr>
      <t>평가계획서</t>
    </r>
    <r>
      <rPr>
        <b/>
        <sz val="11.5"/>
        <color rgb="FFFF0000"/>
        <rFont val="돋움"/>
        <family val="3"/>
        <charset val="129"/>
      </rPr>
      <t xml:space="preserve">와 </t>
    </r>
    <r>
      <rPr>
        <b/>
        <sz val="14"/>
        <color rgb="FFFF0000"/>
        <rFont val="돋움"/>
        <family val="3"/>
        <charset val="129"/>
      </rPr>
      <t>일치</t>
    </r>
    <r>
      <rPr>
        <b/>
        <sz val="11.5"/>
        <color indexed="8"/>
        <rFont val="돋움"/>
        <family val="3"/>
        <charset val="129"/>
      </rPr>
      <t>해야 합니다.</t>
    </r>
    <phoneticPr fontId="1" type="noConversion"/>
  </si>
  <si>
    <t>공통과학</t>
    <phoneticPr fontId="1" type="noConversion"/>
  </si>
  <si>
    <t>홍길동, 박길동</t>
    <phoneticPr fontId="1" type="noConversion"/>
  </si>
  <si>
    <t>물질의 규칙성과 결합</t>
    <phoneticPr fontId="1" type="noConversion"/>
  </si>
  <si>
    <t>도플러 효과</t>
    <phoneticPr fontId="1" type="noConversion"/>
  </si>
  <si>
    <t>우주의 나이</t>
    <phoneticPr fontId="1" type="noConversion"/>
  </si>
  <si>
    <t>맨 우측부분의 [수행평가 성취기준 점수]를 입력해 주셔야 합니다.</t>
    <phoneticPr fontId="1" type="noConversion"/>
  </si>
  <si>
    <t>합계
(점)</t>
    <phoneticPr fontId="1" type="noConversion"/>
  </si>
  <si>
    <t>합계
(점)</t>
    <phoneticPr fontId="1" type="noConversion"/>
  </si>
  <si>
    <t>서논술형</t>
    <phoneticPr fontId="1" type="noConversion"/>
  </si>
  <si>
    <t>그 외 유형</t>
    <phoneticPr fontId="1" type="noConversion"/>
  </si>
  <si>
    <t>성취평가방식</t>
    <phoneticPr fontId="1" type="noConversion"/>
  </si>
  <si>
    <t>수행평가 성취기준점수</t>
    <phoneticPr fontId="1" type="noConversion"/>
  </si>
  <si>
    <t>수행평가</t>
    <phoneticPr fontId="1" type="noConversion"/>
  </si>
  <si>
    <t>서논술형
(지필+수행)</t>
    <phoneticPr fontId="1" type="noConversion"/>
  </si>
  <si>
    <t>수행평가</t>
    <phoneticPr fontId="1" type="noConversion"/>
  </si>
  <si>
    <t>학기말
반영비율</t>
    <phoneticPr fontId="1" type="noConversion"/>
  </si>
  <si>
    <t>[별도 엑셀 파일로 수행평가 영역명을 모으기 위함]</t>
    <phoneticPr fontId="1" type="noConversion"/>
  </si>
  <si>
    <t>[별도 엑셀 파일로 학습평가를 모으기 위함]</t>
    <phoneticPr fontId="1" type="noConversion"/>
  </si>
  <si>
    <t>유형선택</t>
    <phoneticPr fontId="1" type="noConversion"/>
  </si>
  <si>
    <r>
      <t xml:space="preserve"> </t>
    </r>
    <r>
      <rPr>
        <b/>
        <sz val="11.5"/>
        <color rgb="FFFF0000"/>
        <rFont val="돋움"/>
        <family val="3"/>
        <charset val="129"/>
      </rPr>
      <t xml:space="preserve">모든 내용이 </t>
    </r>
    <r>
      <rPr>
        <b/>
        <u/>
        <sz val="14"/>
        <color rgb="FFFF0000"/>
        <rFont val="돋움"/>
        <family val="3"/>
        <charset val="129"/>
      </rPr>
      <t>평가계획서</t>
    </r>
    <r>
      <rPr>
        <b/>
        <sz val="11.5"/>
        <color rgb="FFFF0000"/>
        <rFont val="돋움"/>
        <family val="3"/>
        <charset val="129"/>
      </rPr>
      <t xml:space="preserve">와 </t>
    </r>
    <r>
      <rPr>
        <b/>
        <u/>
        <sz val="14"/>
        <color rgb="FFFF0000"/>
        <rFont val="돋움"/>
        <family val="3"/>
        <charset val="129"/>
      </rPr>
      <t>일치</t>
    </r>
    <r>
      <rPr>
        <b/>
        <sz val="11.5"/>
        <color indexed="8"/>
        <rFont val="돋움"/>
        <family val="3"/>
        <charset val="129"/>
      </rPr>
      <t>해야 합니다.</t>
    </r>
    <phoneticPr fontId="1" type="noConversion"/>
  </si>
  <si>
    <r>
      <rPr>
        <sz val="10"/>
        <color rgb="FFFF0000"/>
        <rFont val="돋움"/>
        <family val="3"/>
        <charset val="129"/>
      </rPr>
      <t>지필평가(서논술형) + 수행평가(서논술형)</t>
    </r>
    <r>
      <rPr>
        <sz val="10"/>
        <rFont val="돋움"/>
        <family val="3"/>
        <charset val="129"/>
      </rPr>
      <t xml:space="preserve"> 학기말 반영 비율
(%)</t>
    </r>
    <phoneticPr fontId="1" type="noConversion"/>
  </si>
  <si>
    <t>기타</t>
  </si>
  <si>
    <t>실험실습</t>
  </si>
  <si>
    <t>평가시기(월)</t>
    <phoneticPr fontId="1" type="noConversion"/>
  </si>
  <si>
    <t>평가시기(월)</t>
    <phoneticPr fontId="1" type="noConversion"/>
  </si>
  <si>
    <t>A/B</t>
    <phoneticPr fontId="6" type="noConversion"/>
  </si>
  <si>
    <t>B/C</t>
    <phoneticPr fontId="6" type="noConversion"/>
  </si>
  <si>
    <t>C/D</t>
    <phoneticPr fontId="6" type="noConversion"/>
  </si>
  <si>
    <t>D/E</t>
    <phoneticPr fontId="1" type="noConversion"/>
  </si>
  <si>
    <t>절대로 서식을 변경해서는 안됩니다~ 해당 셀에 입력만 해주세요~</t>
    <phoneticPr fontId="1" type="noConversion"/>
  </si>
  <si>
    <t>E/I</t>
    <phoneticPr fontId="1" type="noConversion"/>
  </si>
  <si>
    <t>추정분할</t>
  </si>
  <si>
    <t>E/I</t>
    <phoneticPr fontId="6" type="noConversion"/>
  </si>
  <si>
    <t>학점수</t>
    <phoneticPr fontId="1" type="noConversion"/>
  </si>
  <si>
    <t>정기시험</t>
    <phoneticPr fontId="1" type="noConversion"/>
  </si>
  <si>
    <t>3학점 이상인 과목은 반드시 [지필평가의 서논술형+수행평가의 서논술형]이 30%이상이 되어야 합니다.</t>
    <phoneticPr fontId="1" type="noConversion"/>
  </si>
  <si>
    <t>[성취평가 방식(추정분할, 고정분할)]을 반드시 입력 되어야 합니다.</t>
    <phoneticPr fontId="1" type="noConversion"/>
  </si>
  <si>
    <r>
      <rPr>
        <sz val="10"/>
        <color rgb="FFFF0000"/>
        <rFont val="돋움"/>
        <family val="3"/>
        <charset val="129"/>
      </rPr>
      <t>정기시험(서논술형) + 수행평가(서논술형)</t>
    </r>
    <r>
      <rPr>
        <sz val="10"/>
        <rFont val="돋움"/>
        <family val="3"/>
        <charset val="129"/>
      </rPr>
      <t xml:space="preserve"> 학기말 반영 비율
(%)</t>
    </r>
    <phoneticPr fontId="1" type="noConversion"/>
  </si>
  <si>
    <r>
      <t xml:space="preserve">  * [</t>
    </r>
    <r>
      <rPr>
        <b/>
        <sz val="14"/>
        <color rgb="FFFF0000"/>
        <rFont val="돋움"/>
        <family val="3"/>
        <charset val="129"/>
      </rPr>
      <t>필수 수정 요망</t>
    </r>
    <r>
      <rPr>
        <b/>
        <sz val="14"/>
        <color indexed="8"/>
        <rFont val="돋움"/>
        <family val="3"/>
        <charset val="129"/>
      </rPr>
      <t xml:space="preserve">] 아래에 노란 영역에 메시지가 나오면 </t>
    </r>
    <r>
      <rPr>
        <b/>
        <sz val="14"/>
        <color rgb="FFFF0000"/>
        <rFont val="돋움"/>
        <family val="3"/>
        <charset val="129"/>
      </rPr>
      <t>반드시 수정</t>
    </r>
    <r>
      <rPr>
        <b/>
        <sz val="14"/>
        <color indexed="8"/>
        <rFont val="돋움"/>
        <family val="3"/>
        <charset val="129"/>
      </rPr>
      <t>해야 합니다. (단, 예외 과목은 제외)</t>
    </r>
    <phoneticPr fontId="1" type="noConversion"/>
  </si>
  <si>
    <t>단원별 핵심 개념 구조화를 통해 단계별 문제 해결하기</t>
    <phoneticPr fontId="1" type="noConversion"/>
  </si>
  <si>
    <t>수학 과제 탐구를 통한 실생활 문제 수학적으로 표현하기</t>
    <phoneticPr fontId="1" type="noConversion"/>
  </si>
  <si>
    <t>공통수학1</t>
    <phoneticPr fontId="1" type="noConversion"/>
  </si>
  <si>
    <t>정요한</t>
    <phoneticPr fontId="1" type="noConversion"/>
  </si>
  <si>
    <t>정요한, 김은상, 장재욱</t>
    <phoneticPr fontId="1" type="noConversion"/>
  </si>
  <si>
    <t>3~7</t>
    <phoneticPr fontId="1" type="noConversion"/>
  </si>
  <si>
    <t>4,6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</si>
</sst>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_);[Red]\(0\)"/>
    <numFmt numFmtId="178" formatCode="##"/>
    <numFmt numFmtId="179" formatCode="#"/>
    <numFmt numFmtId="180" formatCode="0.0_ "/>
  </numFmts>
  <fonts count="2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rgb="FF0070C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12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4"/>
      <color rgb="FFFF0000"/>
      <name val="돋움"/>
      <family val="3"/>
      <charset val="129"/>
    </font>
    <font>
      <sz val="12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6"/>
      <color rgb="FFFF0000"/>
      <name val="돋움"/>
      <family val="3"/>
      <charset val="129"/>
    </font>
    <font>
      <sz val="12"/>
      <color indexed="8"/>
      <name val="굴림"/>
      <family val="3"/>
      <charset val="129"/>
    </font>
    <font>
      <sz val="12"/>
      <color indexed="8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rgb="FF0070C0"/>
      <name val="돋움"/>
      <family val="3"/>
      <charset val="129"/>
    </font>
    <font>
      <b/>
      <sz val="11.5"/>
      <color indexed="8"/>
      <name val="돋움"/>
      <family val="3"/>
      <charset val="129"/>
    </font>
    <font>
      <b/>
      <sz val="11.5"/>
      <color rgb="FFFF0000"/>
      <name val="돋움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1"/>
      <name val="돋움"/>
      <family val="3"/>
      <charset val="129"/>
    </font>
    <font>
      <sz val="14"/>
      <name val="돋움"/>
      <family val="3"/>
      <charset val="129"/>
    </font>
    <font>
      <b/>
      <u/>
      <sz val="14"/>
      <color rgb="FFFF0000"/>
      <name val="돋움"/>
      <family val="3"/>
      <charset val="129"/>
    </font>
    <font>
      <sz val="16"/>
      <color rgb="FFFF000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center" vertical="center"/>
      <protection locked="0"/>
    </xf>
    <xf numFmtId="176" fontId="5" fillId="0" borderId="12" xfId="0" applyNumberFormat="1" applyFont="1" applyBorder="1" applyAlignment="1" applyProtection="1">
      <alignment horizontal="center" vertical="center" wrapText="1"/>
      <protection locked="0"/>
    </xf>
    <xf numFmtId="176" fontId="5" fillId="0" borderId="13" xfId="0" applyNumberFormat="1" applyFont="1" applyBorder="1" applyAlignment="1" applyProtection="1">
      <alignment horizontal="center" vertical="center" shrinkToFit="1"/>
      <protection locked="0"/>
    </xf>
    <xf numFmtId="0" fontId="17" fillId="11" borderId="15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8" xfId="0" applyFont="1" applyBorder="1" applyAlignment="1" applyProtection="1">
      <alignment horizontal="center" vertical="center"/>
      <protection locked="0"/>
    </xf>
    <xf numFmtId="0" fontId="17" fillId="11" borderId="13" xfId="0" applyFont="1" applyFill="1" applyBorder="1" applyAlignment="1">
      <alignment horizontal="center" vertical="center"/>
    </xf>
    <xf numFmtId="176" fontId="17" fillId="0" borderId="11" xfId="0" applyNumberFormat="1" applyFont="1" applyBorder="1" applyAlignment="1" applyProtection="1">
      <alignment horizontal="center" vertical="center" wrapText="1"/>
      <protection locked="0"/>
    </xf>
    <xf numFmtId="176" fontId="17" fillId="0" borderId="12" xfId="0" applyNumberFormat="1" applyFont="1" applyBorder="1" applyAlignment="1" applyProtection="1">
      <alignment horizontal="center" vertical="center" wrapText="1"/>
      <protection locked="0"/>
    </xf>
    <xf numFmtId="0" fontId="16" fillId="2" borderId="4" xfId="0" applyFont="1" applyFill="1" applyBorder="1" applyAlignment="1">
      <alignment horizontal="center" vertic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3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 vertical="center" wrapText="1"/>
    </xf>
    <xf numFmtId="176" fontId="17" fillId="0" borderId="11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17" fillId="0" borderId="12" xfId="0" applyNumberFormat="1" applyFont="1" applyBorder="1" applyAlignment="1">
      <alignment horizontal="center" vertical="center" wrapText="1"/>
    </xf>
    <xf numFmtId="176" fontId="5" fillId="0" borderId="13" xfId="0" applyNumberFormat="1" applyFont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78" fontId="15" fillId="0" borderId="1" xfId="0" applyNumberFormat="1" applyFont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8" borderId="8" xfId="0" applyFont="1" applyFill="1" applyBorder="1" applyAlignment="1">
      <alignment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179" fontId="3" fillId="0" borderId="5" xfId="0" applyNumberFormat="1" applyFont="1" applyBorder="1" applyAlignment="1">
      <alignment horizontal="center" vertical="center" wrapText="1"/>
    </xf>
    <xf numFmtId="179" fontId="17" fillId="0" borderId="28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/>
    </xf>
    <xf numFmtId="179" fontId="16" fillId="0" borderId="11" xfId="0" applyNumberFormat="1" applyFont="1" applyBorder="1" applyAlignment="1">
      <alignment horizontal="center" vertical="center"/>
    </xf>
    <xf numFmtId="179" fontId="16" fillId="0" borderId="12" xfId="0" applyNumberFormat="1" applyFont="1" applyBorder="1" applyAlignment="1">
      <alignment horizontal="center" vertical="center"/>
    </xf>
    <xf numFmtId="179" fontId="16" fillId="0" borderId="7" xfId="0" applyNumberFormat="1" applyFont="1" applyBorder="1" applyAlignment="1">
      <alignment horizontal="center" vertical="center"/>
    </xf>
    <xf numFmtId="179" fontId="16" fillId="0" borderId="13" xfId="0" applyNumberFormat="1" applyFont="1" applyBorder="1" applyAlignment="1">
      <alignment horizontal="center" vertical="center"/>
    </xf>
    <xf numFmtId="179" fontId="17" fillId="0" borderId="11" xfId="0" applyNumberFormat="1" applyFont="1" applyBorder="1" applyAlignment="1">
      <alignment horizontal="center" vertical="center" wrapText="1"/>
    </xf>
    <xf numFmtId="179" fontId="5" fillId="0" borderId="12" xfId="0" applyNumberFormat="1" applyFont="1" applyBorder="1" applyAlignment="1">
      <alignment horizontal="center" vertical="center" wrapText="1"/>
    </xf>
    <xf numFmtId="179" fontId="17" fillId="0" borderId="12" xfId="0" applyNumberFormat="1" applyFont="1" applyBorder="1" applyAlignment="1">
      <alignment horizontal="center" vertical="center" wrapText="1"/>
    </xf>
    <xf numFmtId="179" fontId="5" fillId="0" borderId="13" xfId="0" applyNumberFormat="1" applyFont="1" applyBorder="1" applyAlignment="1">
      <alignment horizontal="center" vertical="center" shrinkToFit="1"/>
    </xf>
    <xf numFmtId="179" fontId="17" fillId="0" borderId="11" xfId="0" applyNumberFormat="1" applyFont="1" applyBorder="1" applyAlignment="1">
      <alignment horizontal="center" vertical="center"/>
    </xf>
    <xf numFmtId="179" fontId="17" fillId="0" borderId="12" xfId="0" applyNumberFormat="1" applyFont="1" applyBorder="1" applyAlignment="1">
      <alignment horizontal="center" vertical="center"/>
    </xf>
    <xf numFmtId="179" fontId="17" fillId="11" borderId="12" xfId="0" applyNumberFormat="1" applyFont="1" applyFill="1" applyBorder="1" applyAlignment="1">
      <alignment horizontal="center" vertical="center"/>
    </xf>
    <xf numFmtId="179" fontId="17" fillId="0" borderId="13" xfId="0" applyNumberFormat="1" applyFont="1" applyBorder="1" applyAlignment="1">
      <alignment horizontal="center" vertical="center"/>
    </xf>
    <xf numFmtId="179" fontId="5" fillId="2" borderId="31" xfId="0" applyNumberFormat="1" applyFont="1" applyFill="1" applyBorder="1" applyAlignment="1">
      <alignment horizontal="center" vertical="center" wrapText="1"/>
    </xf>
    <xf numFmtId="179" fontId="15" fillId="0" borderId="12" xfId="0" applyNumberFormat="1" applyFont="1" applyBorder="1" applyAlignment="1">
      <alignment horizontal="center" vertical="center" wrapText="1"/>
    </xf>
    <xf numFmtId="179" fontId="17" fillId="11" borderId="13" xfId="0" applyNumberFormat="1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/>
    </xf>
    <xf numFmtId="179" fontId="2" fillId="0" borderId="0" xfId="0" applyNumberFormat="1" applyFont="1"/>
    <xf numFmtId="179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center"/>
    </xf>
    <xf numFmtId="0" fontId="25" fillId="0" borderId="0" xfId="0" applyFont="1"/>
    <xf numFmtId="180" fontId="2" fillId="0" borderId="1" xfId="0" applyNumberFormat="1" applyFont="1" applyBorder="1" applyAlignment="1">
      <alignment horizontal="center"/>
    </xf>
    <xf numFmtId="180" fontId="17" fillId="11" borderId="15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177" fontId="14" fillId="9" borderId="10" xfId="0" applyNumberFormat="1" applyFont="1" applyFill="1" applyBorder="1" applyAlignment="1">
      <alignment horizontal="center" vertical="center" wrapText="1"/>
    </xf>
    <xf numFmtId="177" fontId="14" fillId="9" borderId="1" xfId="0" applyNumberFormat="1" applyFont="1" applyFill="1" applyBorder="1" applyAlignment="1">
      <alignment horizontal="center" vertical="center" wrapText="1"/>
    </xf>
    <xf numFmtId="177" fontId="14" fillId="10" borderId="1" xfId="0" applyNumberFormat="1" applyFont="1" applyFill="1" applyBorder="1" applyAlignment="1">
      <alignment horizontal="center" vertical="center" wrapText="1"/>
    </xf>
    <xf numFmtId="177" fontId="14" fillId="10" borderId="9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  <protection locked="0"/>
    </xf>
    <xf numFmtId="177" fontId="14" fillId="7" borderId="8" xfId="0" applyNumberFormat="1" applyFont="1" applyFill="1" applyBorder="1" applyAlignment="1">
      <alignment horizontal="center" vertical="center" wrapText="1"/>
    </xf>
    <xf numFmtId="177" fontId="14" fillId="7" borderId="5" xfId="0" applyNumberFormat="1" applyFont="1" applyFill="1" applyBorder="1" applyAlignment="1">
      <alignment horizontal="center" vertical="center" wrapText="1"/>
    </xf>
    <xf numFmtId="177" fontId="14" fillId="7" borderId="6" xfId="0" applyNumberFormat="1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15" fillId="8" borderId="30" xfId="0" applyFont="1" applyFill="1" applyBorder="1" applyAlignment="1">
      <alignment horizontal="center" vertical="center" wrapText="1"/>
    </xf>
    <xf numFmtId="0" fontId="15" fillId="8" borderId="26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35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5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495300</xdr:colOff>
      <xdr:row>24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48575" y="6143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495300</xdr:colOff>
      <xdr:row>24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800975" y="600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0</xdr:col>
      <xdr:colOff>466725</xdr:colOff>
      <xdr:row>19</xdr:row>
      <xdr:rowOff>95250</xdr:rowOff>
    </xdr:from>
    <xdr:to>
      <xdr:col>12</xdr:col>
      <xdr:colOff>200025</xdr:colOff>
      <xdr:row>49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66725" y="5314950"/>
          <a:ext cx="7543800" cy="4619625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latin typeface="맑은 고딕"/>
              <a:ea typeface="맑은 고딕"/>
            </a:rPr>
            <a:t>Ο </a:t>
          </a:r>
          <a:r>
            <a:rPr lang="en-US" altLang="ko-KR" sz="1100">
              <a:solidFill>
                <a:srgbClr val="FF0000"/>
              </a:solidFill>
              <a:latin typeface="맑은 고딕"/>
              <a:ea typeface="맑은 고딕"/>
            </a:rPr>
            <a:t>1,2</a:t>
          </a:r>
          <a:r>
            <a:rPr lang="ko-KR" altLang="en-US" sz="1100">
              <a:solidFill>
                <a:srgbClr val="FF0000"/>
              </a:solidFill>
              <a:latin typeface="맑은 고딕"/>
              <a:ea typeface="맑은 고딕"/>
            </a:rPr>
            <a:t>학년은 정기시험의 서논술형과 수행평가의 서논술형 평가의 합이 </a:t>
          </a:r>
          <a:r>
            <a:rPr lang="en-US" altLang="ko-KR" sz="1100" b="1" u="sng">
              <a:solidFill>
                <a:srgbClr val="FF0000"/>
              </a:solidFill>
              <a:latin typeface="맑은 고딕"/>
              <a:ea typeface="맑은 고딕"/>
            </a:rPr>
            <a:t>30% </a:t>
          </a:r>
          <a:r>
            <a:rPr lang="ko-KR" altLang="en-US" sz="1100" b="1" u="sng">
              <a:solidFill>
                <a:srgbClr val="FF0000"/>
              </a:solidFill>
              <a:latin typeface="맑은 고딕"/>
              <a:ea typeface="맑은 고딕"/>
            </a:rPr>
            <a:t>이상</a:t>
          </a:r>
          <a:r>
            <a:rPr lang="ko-KR" altLang="en-US" sz="1100" u="sng">
              <a:solidFill>
                <a:srgbClr val="FF0000"/>
              </a:solidFill>
              <a:latin typeface="맑은 고딕"/>
              <a:ea typeface="맑은 고딕"/>
            </a:rPr>
            <a:t> </a:t>
          </a:r>
          <a:r>
            <a:rPr lang="ko-KR" altLang="en-US" sz="1100">
              <a:solidFill>
                <a:srgbClr val="FF0000"/>
              </a:solidFill>
              <a:latin typeface="맑은 고딕"/>
              <a:ea typeface="맑은 고딕"/>
            </a:rPr>
            <a:t>실시해야 합니다</a:t>
          </a:r>
          <a:r>
            <a:rPr lang="en-US" altLang="ko-KR" sz="1100">
              <a:solidFill>
                <a:srgbClr val="FF0000"/>
              </a:solidFill>
              <a:latin typeface="맑은 고딕"/>
              <a:ea typeface="맑은 고딕"/>
            </a:rPr>
            <a:t>. </a:t>
          </a:r>
          <a:br>
            <a:rPr lang="en-US" altLang="ko-KR" sz="1100">
              <a:latin typeface="맑은 고딕"/>
              <a:ea typeface="맑은 고딕"/>
            </a:rPr>
          </a:br>
          <a:r>
            <a:rPr lang="en-US" altLang="ko-KR" sz="1100">
              <a:latin typeface="맑은 고딕"/>
              <a:ea typeface="맑은 고딕"/>
            </a:rPr>
            <a:t>    - 2</a:t>
          </a:r>
          <a:r>
            <a:rPr lang="ko-KR" altLang="en-US" sz="1100">
              <a:latin typeface="맑은 고딕"/>
              <a:ea typeface="맑은 고딕"/>
            </a:rPr>
            <a:t>학점 이하 과목</a:t>
          </a:r>
          <a:r>
            <a:rPr lang="en-US" altLang="ko-KR" sz="1100" baseline="0">
              <a:latin typeface="맑은 고딕"/>
              <a:ea typeface="맑은 고딕"/>
            </a:rPr>
            <a:t>, </a:t>
          </a:r>
          <a:r>
            <a:rPr lang="ko-KR" altLang="en-US" sz="1100" baseline="0">
              <a:latin typeface="맑은 고딕"/>
              <a:ea typeface="맑은 고딕"/>
            </a:rPr>
            <a:t>사고력을 측정하는 다양한 형태의 수행평가를 학기단위 성적의 </a:t>
          </a:r>
          <a:r>
            <a:rPr lang="en-US" altLang="ko-KR" sz="1100" baseline="0">
              <a:latin typeface="맑은 고딕"/>
              <a:ea typeface="맑은 고딕"/>
            </a:rPr>
            <a:t>70% </a:t>
          </a:r>
          <a:r>
            <a:rPr lang="ko-KR" altLang="en-US" sz="1100" baseline="0">
              <a:latin typeface="맑은 고딕"/>
              <a:ea typeface="맑은 고딕"/>
            </a:rPr>
            <a:t>이상 시행하는 과목</a:t>
          </a:r>
          <a:r>
            <a:rPr lang="en-US" altLang="ko-KR" sz="1100" baseline="0">
              <a:latin typeface="맑은 고딕"/>
              <a:ea typeface="맑은 고딕"/>
            </a:rPr>
            <a:t>,   </a:t>
          </a:r>
        </a:p>
        <a:p>
          <a:r>
            <a:rPr lang="en-US" altLang="ko-KR" sz="1100" baseline="0">
              <a:latin typeface="맑은 고딕"/>
              <a:ea typeface="맑은 고딕"/>
            </a:rPr>
            <a:t>      </a:t>
          </a:r>
          <a:r>
            <a:rPr lang="ko-KR" altLang="en-US" sz="1100" baseline="0">
              <a:latin typeface="맑은 고딕"/>
              <a:ea typeface="맑은 고딕"/>
            </a:rPr>
            <a:t>체육</a:t>
          </a:r>
          <a:r>
            <a:rPr lang="en-US" altLang="ko-KR" sz="1100" baseline="0">
              <a:latin typeface="맑은 고딕"/>
              <a:ea typeface="맑은 고딕"/>
            </a:rPr>
            <a:t>·</a:t>
          </a:r>
          <a:r>
            <a:rPr lang="ko-KR" altLang="en-US" sz="1100" baseline="0">
              <a:latin typeface="맑은 고딕"/>
              <a:ea typeface="맑은 고딕"/>
            </a:rPr>
            <a:t>예술</a:t>
          </a:r>
          <a:r>
            <a:rPr lang="en-US" altLang="ko-KR" sz="1100" baseline="0">
              <a:latin typeface="맑은 고딕"/>
              <a:ea typeface="맑은 고딕"/>
            </a:rPr>
            <a:t>(</a:t>
          </a:r>
          <a:r>
            <a:rPr lang="ko-KR" altLang="en-US" sz="1100" baseline="0">
              <a:latin typeface="맑은 고딕"/>
              <a:ea typeface="맑은 고딕"/>
            </a:rPr>
            <a:t>계열</a:t>
          </a:r>
          <a:r>
            <a:rPr lang="en-US" altLang="ko-KR" sz="1100" baseline="0">
              <a:latin typeface="맑은 고딕"/>
              <a:ea typeface="맑은 고딕"/>
            </a:rPr>
            <a:t>) </a:t>
          </a:r>
          <a:r>
            <a:rPr lang="ko-KR" altLang="en-US" sz="1100" baseline="0">
              <a:latin typeface="맑은 고딕"/>
              <a:ea typeface="맑은 고딕"/>
            </a:rPr>
            <a:t>교과</a:t>
          </a:r>
          <a:r>
            <a:rPr lang="en-US" altLang="ko-KR" sz="1100" baseline="0">
              <a:latin typeface="맑은 고딕"/>
              <a:ea typeface="맑은 고딕"/>
            </a:rPr>
            <a:t>(</a:t>
          </a:r>
          <a:r>
            <a:rPr lang="ko-KR" altLang="en-US" sz="1100" baseline="0">
              <a:latin typeface="맑은 고딕"/>
              <a:ea typeface="맑은 고딕"/>
            </a:rPr>
            <a:t>군</a:t>
          </a:r>
          <a:r>
            <a:rPr lang="en-US" altLang="ko-KR" sz="1100" baseline="0">
              <a:latin typeface="맑은 고딕"/>
              <a:ea typeface="맑은 고딕"/>
            </a:rPr>
            <a:t>)</a:t>
          </a:r>
          <a:r>
            <a:rPr lang="ko-KR" altLang="en-US" sz="1100" baseline="0">
              <a:latin typeface="맑은 고딕"/>
              <a:ea typeface="맑은 고딕"/>
            </a:rPr>
            <a:t>의 실기 중심 과목은 예외</a:t>
          </a:r>
          <a:endParaRPr lang="en-US" altLang="ko-KR" sz="1100">
            <a:latin typeface="맑은 고딕"/>
            <a:ea typeface="맑은 고딕"/>
          </a:endParaRPr>
        </a:p>
        <a:p>
          <a:r>
            <a:rPr lang="en-US" altLang="ko-KR" sz="1100">
              <a:latin typeface="맑은 고딕"/>
              <a:ea typeface="맑은 고딕"/>
            </a:rPr>
            <a:t>    - 3</a:t>
          </a:r>
          <a:r>
            <a:rPr lang="ko-KR" altLang="en-US" sz="1100">
              <a:latin typeface="맑은 고딕"/>
              <a:ea typeface="맑은 고딕"/>
            </a:rPr>
            <a:t>학년의 경우</a:t>
          </a:r>
          <a:r>
            <a:rPr lang="en-US" altLang="ko-KR" sz="1100">
              <a:latin typeface="맑은 고딕"/>
              <a:ea typeface="맑은 고딕"/>
            </a:rPr>
            <a:t> </a:t>
          </a:r>
          <a:r>
            <a:rPr lang="ko-KR" altLang="en-US" sz="1100">
              <a:latin typeface="맑은 고딕"/>
              <a:ea typeface="맑은 고딕"/>
            </a:rPr>
            <a:t>교과협의회와 학업성적관리위원회 심의 및 학교장 결재를 거쳐 수행평가 및 서논술형 평가 실시</a:t>
          </a:r>
          <a:r>
            <a:rPr lang="en-US" altLang="ko-KR" sz="1100">
              <a:latin typeface="맑은 고딕"/>
              <a:ea typeface="맑은 고딕"/>
            </a:rPr>
            <a:t>  </a:t>
          </a:r>
        </a:p>
        <a:p>
          <a:r>
            <a:rPr lang="en-US" altLang="ko-KR" sz="1100">
              <a:latin typeface="맑은 고딕"/>
              <a:ea typeface="맑은 고딕"/>
            </a:rPr>
            <a:t>      </a:t>
          </a:r>
          <a:r>
            <a:rPr lang="ko-KR" altLang="en-US" sz="1100">
              <a:latin typeface="맑은 고딕"/>
              <a:ea typeface="맑은 고딕"/>
            </a:rPr>
            <a:t>비율을 결정할 수 있음</a:t>
          </a:r>
          <a:r>
            <a:rPr lang="en-US" altLang="ko-KR" sz="1100">
              <a:latin typeface="맑은 고딕"/>
              <a:ea typeface="맑은 고딕"/>
            </a:rPr>
            <a:t>.</a:t>
          </a:r>
        </a:p>
        <a:p>
          <a:endParaRPr lang="en-US" altLang="ko-KR" sz="1100" baseline="0">
            <a:effectLst/>
            <a:latin typeface="맑은 고딕"/>
            <a:ea typeface="맑은 고딕"/>
          </a:endParaRPr>
        </a:p>
        <a:p>
          <a:pPr fontAlgn="base" latinLnBrk="1"/>
          <a:r>
            <a:rPr lang="el-G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Ο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2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권장하는 수행평가 유형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교수학습의 과정 속에서 시행되고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정규 수업 시간 내에 진행되는 수행평가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토론토론 평가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포트폴리오 평가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실험 실습 평가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관찰 평가 등  다양한 평가 방법 활용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자기평가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동표평가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교사평가 등 다양한 평가자 활용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l-G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Ο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주의해야 할 수행평가 유형</a:t>
          </a: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정규교육과정 외에 학생이 수행한 결과물에 대해 점수를 부여하는 과제형 수행평가 실시</a:t>
          </a:r>
          <a:r>
            <a:rPr lang="ko-KR" altLang="en-US" sz="1100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불가</a:t>
          </a:r>
          <a:r>
            <a:rPr lang="en-US" altLang="ko-KR" sz="1100" u="sng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별도의 시기를 정하여 동일한 문항으로 모든 학생들에게 일률적으로 시행하는 평가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암기형 수행평가 실시 불가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과다한 기본 점수 및 태도 점수를 부여하는 평가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endParaRPr lang="en-US" altLang="ko-KR" sz="1100" baseline="0">
            <a:effectLst/>
            <a:latin typeface="맑은 고딕"/>
            <a:ea typeface="맑은 고딕"/>
          </a:endParaRP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Ο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effectLst/>
              <a:latin typeface="맑은 고딕"/>
              <a:ea typeface="+mn-ea"/>
            </a:rPr>
            <a:t>[</a:t>
          </a:r>
          <a:r>
            <a:rPr lang="ko-KR" altLang="en-US" sz="1100" baseline="0">
              <a:effectLst/>
              <a:latin typeface="맑은 고딕"/>
              <a:ea typeface="+mn-ea"/>
            </a:rPr>
            <a:t>과학교과</a:t>
          </a:r>
          <a:r>
            <a:rPr lang="en-US" altLang="ko-KR" sz="1100" baseline="0">
              <a:effectLst/>
              <a:latin typeface="맑은 고딕"/>
              <a:ea typeface="+mn-ea"/>
            </a:rPr>
            <a:t>]</a:t>
          </a:r>
          <a:r>
            <a:rPr lang="ko-KR" altLang="en-US" sz="1100" baseline="0">
              <a:effectLst/>
              <a:latin typeface="맑은 고딕"/>
              <a:ea typeface="+mn-ea"/>
            </a:rPr>
            <a:t>의 경우 실험평가를 </a:t>
          </a:r>
          <a:r>
            <a:rPr lang="ko-KR" altLang="en-US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학기말 총 배점의 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10~20% </a:t>
          </a:r>
          <a:r>
            <a:rPr lang="ko-KR" altLang="en-US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이상</a:t>
          </a:r>
          <a:r>
            <a:rPr lang="ko-KR" altLang="en-US" sz="1100" baseline="0">
              <a:effectLst/>
              <a:latin typeface="맑은 고딕"/>
              <a:ea typeface="+mn-ea"/>
            </a:rPr>
            <a:t> 반영</a:t>
          </a:r>
          <a:endParaRPr lang="en-US" altLang="ko-KR" sz="1100" baseline="0">
            <a:effectLst/>
            <a:latin typeface="맑은 고딕"/>
            <a:ea typeface="+mn-ea"/>
          </a:endParaRPr>
        </a:p>
        <a:p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Ο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>
              <a:effectLst/>
              <a:latin typeface="맑은 고딕"/>
              <a:ea typeface="+mn-ea"/>
            </a:rPr>
            <a:t>[</a:t>
          </a:r>
          <a:r>
            <a:rPr lang="ko-KR" altLang="en-US" sz="1100" baseline="0">
              <a:effectLst/>
              <a:latin typeface="맑은 고딕"/>
              <a:ea typeface="+mn-ea"/>
            </a:rPr>
            <a:t>영어교과</a:t>
          </a:r>
          <a:r>
            <a:rPr lang="en-US" altLang="ko-KR" sz="1100" baseline="0">
              <a:effectLst/>
              <a:latin typeface="맑은 고딕"/>
              <a:ea typeface="+mn-ea"/>
            </a:rPr>
            <a:t>]</a:t>
          </a:r>
          <a:r>
            <a:rPr lang="ko-KR" altLang="en-US" sz="1100" baseline="0">
              <a:effectLst/>
              <a:latin typeface="맑은 고딕"/>
              <a:ea typeface="+mn-ea"/>
            </a:rPr>
            <a:t>의 경우 </a:t>
          </a:r>
          <a:r>
            <a:rPr lang="ko-KR" altLang="en-US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말하기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, </a:t>
          </a:r>
          <a:r>
            <a:rPr lang="ko-KR" altLang="en-US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듣기</a:t>
          </a:r>
          <a:r>
            <a:rPr lang="en-US" altLang="ko-KR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, </a:t>
          </a:r>
          <a:r>
            <a:rPr lang="ko-KR" altLang="en-US" sz="1100" b="1" u="sng" baseline="0">
              <a:solidFill>
                <a:srgbClr val="FF0000"/>
              </a:solidFill>
              <a:effectLst/>
              <a:latin typeface="맑은 고딕"/>
              <a:ea typeface="+mn-ea"/>
            </a:rPr>
            <a:t>쓰기 평가</a:t>
          </a:r>
          <a:r>
            <a:rPr lang="ko-KR" altLang="en-US" sz="1100" b="0" u="none" baseline="0">
              <a:solidFill>
                <a:sysClr val="windowText" lastClr="000000"/>
              </a:solidFill>
              <a:effectLst/>
              <a:latin typeface="맑은 고딕"/>
              <a:ea typeface="+mn-ea"/>
            </a:rPr>
            <a:t>를 </a:t>
          </a:r>
          <a:r>
            <a:rPr lang="ko-KR" altLang="en-US" sz="1100" b="1" u="sng" baseline="0">
              <a:solidFill>
                <a:sysClr val="windowText" lastClr="000000"/>
              </a:solidFill>
              <a:effectLst/>
              <a:latin typeface="맑은 고딕"/>
              <a:ea typeface="+mn-ea"/>
            </a:rPr>
            <a:t>균형있게</a:t>
          </a:r>
          <a:r>
            <a:rPr lang="ko-KR" altLang="en-US" sz="1100" b="0" u="none" baseline="0">
              <a:solidFill>
                <a:sysClr val="windowText" lastClr="000000"/>
              </a:solidFill>
              <a:effectLst/>
              <a:latin typeface="맑은 고딕"/>
              <a:ea typeface="+mn-ea"/>
            </a:rPr>
            <a:t> </a:t>
          </a:r>
          <a:r>
            <a:rPr lang="ko-KR" altLang="en-US" sz="1100" baseline="0">
              <a:effectLst/>
              <a:latin typeface="맑은 고딕"/>
              <a:ea typeface="+mn-ea"/>
            </a:rPr>
            <a:t>반영</a:t>
          </a:r>
          <a:endParaRPr lang="en-US" altLang="ko-KR" sz="1100" b="1" u="sng" baseline="0">
            <a:solidFill>
              <a:srgbClr val="FF0000"/>
            </a:solidFill>
            <a:effectLst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219075</xdr:colOff>
      <xdr:row>15</xdr:row>
      <xdr:rowOff>85725</xdr:rowOff>
    </xdr:from>
    <xdr:to>
      <xdr:col>4</xdr:col>
      <xdr:colOff>647700</xdr:colOff>
      <xdr:row>19</xdr:row>
      <xdr:rowOff>47625</xdr:rowOff>
    </xdr:to>
    <xdr:sp macro="" textlink="">
      <xdr:nvSpPr>
        <xdr:cNvPr id="4" name="사각형 설명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9075" y="4695825"/>
          <a:ext cx="2924175" cy="571500"/>
        </a:xfrm>
        <a:prstGeom prst="wedgeRectCallou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000" b="1"/>
            <a:t>숙지 사항</a:t>
          </a:r>
        </a:p>
      </xdr:txBody>
    </xdr:sp>
    <xdr:clientData/>
  </xdr:twoCellAnchor>
  <xdr:twoCellAnchor>
    <xdr:from>
      <xdr:col>8</xdr:col>
      <xdr:colOff>19050</xdr:colOff>
      <xdr:row>6</xdr:row>
      <xdr:rowOff>266700</xdr:rowOff>
    </xdr:from>
    <xdr:to>
      <xdr:col>13</xdr:col>
      <xdr:colOff>142875</xdr:colOff>
      <xdr:row>7</xdr:row>
      <xdr:rowOff>238125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810250" y="2200275"/>
          <a:ext cx="2647950" cy="3333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합계는  </a:t>
          </a:r>
          <a:r>
            <a:rPr lang="en-US" altLang="ko-KR" sz="1100"/>
            <a:t>100</a:t>
          </a:r>
          <a:r>
            <a:rPr lang="ko-KR" altLang="en-US" sz="1100"/>
            <a:t>점 만점이 되어야 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8</xdr:col>
      <xdr:colOff>295279</xdr:colOff>
      <xdr:row>5</xdr:row>
      <xdr:rowOff>295276</xdr:rowOff>
    </xdr:from>
    <xdr:to>
      <xdr:col>10</xdr:col>
      <xdr:colOff>333375</xdr:colOff>
      <xdr:row>6</xdr:row>
      <xdr:rowOff>266700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0"/>
        </xdr:cNvCxnSpPr>
      </xdr:nvCxnSpPr>
      <xdr:spPr>
        <a:xfrm flipH="1" flipV="1">
          <a:off x="6086479" y="1885951"/>
          <a:ext cx="1047746" cy="314324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5</xdr:row>
      <xdr:rowOff>285750</xdr:rowOff>
    </xdr:from>
    <xdr:to>
      <xdr:col>13</xdr:col>
      <xdr:colOff>142875</xdr:colOff>
      <xdr:row>6</xdr:row>
      <xdr:rowOff>266700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5" idx="0"/>
        </xdr:cNvCxnSpPr>
      </xdr:nvCxnSpPr>
      <xdr:spPr>
        <a:xfrm flipV="1">
          <a:off x="7134225" y="1876425"/>
          <a:ext cx="1323975" cy="323850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85725</xdr:colOff>
      <xdr:row>5</xdr:row>
      <xdr:rowOff>238125</xdr:rowOff>
    </xdr:from>
    <xdr:to>
      <xdr:col>16</xdr:col>
      <xdr:colOff>85725</xdr:colOff>
      <xdr:row>6</xdr:row>
      <xdr:rowOff>247650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15" idx="0"/>
        </xdr:cNvCxnSpPr>
      </xdr:nvCxnSpPr>
      <xdr:spPr>
        <a:xfrm flipH="1" flipV="1">
          <a:off x="9410700" y="1828800"/>
          <a:ext cx="561975" cy="3524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371475</xdr:colOff>
      <xdr:row>6</xdr:row>
      <xdr:rowOff>114300</xdr:rowOff>
    </xdr:from>
    <xdr:to>
      <xdr:col>21</xdr:col>
      <xdr:colOff>409575</xdr:colOff>
      <xdr:row>8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896600" y="2047875"/>
          <a:ext cx="2590800" cy="838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100"/>
            <a:t>영역명 입력 시 그냥 연속적으로 입력만 하시면 됩니다</a:t>
          </a:r>
          <a:r>
            <a:rPr lang="en-US" altLang="ko-KR" sz="1100">
              <a:solidFill>
                <a:srgbClr val="FF0000"/>
              </a:solidFill>
            </a:rPr>
            <a:t>. </a:t>
          </a:r>
          <a:r>
            <a:rPr lang="en-US" altLang="ko-KR" sz="1100" u="sng">
              <a:solidFill>
                <a:srgbClr val="FF0000"/>
              </a:solidFill>
            </a:rPr>
            <a:t>(Alt+</a:t>
          </a:r>
          <a:r>
            <a:rPr lang="ko-KR" altLang="en-US" sz="1100" u="sng">
              <a:solidFill>
                <a:srgbClr val="FF0000"/>
              </a:solidFill>
            </a:rPr>
            <a:t>엔터</a:t>
          </a:r>
          <a:r>
            <a:rPr lang="en-US" altLang="ko-KR" sz="1100" u="sng">
              <a:solidFill>
                <a:srgbClr val="FF0000"/>
              </a:solidFill>
            </a:rPr>
            <a:t>)</a:t>
          </a:r>
          <a:r>
            <a:rPr lang="ko-KR" altLang="en-US" sz="1100" u="sng">
              <a:solidFill>
                <a:srgbClr val="FF0000"/>
              </a:solidFill>
            </a:rPr>
            <a:t>를 눌러서 줄바꿈을 하지 마세요</a:t>
          </a:r>
          <a:r>
            <a:rPr lang="en-US" altLang="ko-KR" sz="1100" u="sng">
              <a:solidFill>
                <a:srgbClr val="FF0000"/>
              </a:solidFill>
            </a:rPr>
            <a:t>.</a:t>
          </a:r>
          <a:endParaRPr lang="ko-KR" altLang="en-US" sz="1100" u="sng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400050</xdr:colOff>
      <xdr:row>6</xdr:row>
      <xdr:rowOff>247650</xdr:rowOff>
    </xdr:from>
    <xdr:to>
      <xdr:col>17</xdr:col>
      <xdr:colOff>247650</xdr:colOff>
      <xdr:row>7</xdr:row>
      <xdr:rowOff>219075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9172575" y="2181225"/>
          <a:ext cx="1600200" cy="3333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100"/>
            <a:t>숫자만 입력합니다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15</xdr:col>
      <xdr:colOff>66675</xdr:colOff>
      <xdr:row>4</xdr:row>
      <xdr:rowOff>266700</xdr:rowOff>
    </xdr:from>
    <xdr:to>
      <xdr:col>16</xdr:col>
      <xdr:colOff>85725</xdr:colOff>
      <xdr:row>6</xdr:row>
      <xdr:rowOff>247650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stCxn id="15" idx="0"/>
        </xdr:cNvCxnSpPr>
      </xdr:nvCxnSpPr>
      <xdr:spPr>
        <a:xfrm flipH="1" flipV="1">
          <a:off x="9391650" y="1485900"/>
          <a:ext cx="581025" cy="6953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3</xdr:row>
      <xdr:rowOff>323850</xdr:rowOff>
    </xdr:from>
    <xdr:to>
      <xdr:col>19</xdr:col>
      <xdr:colOff>390525</xdr:colOff>
      <xdr:row>6</xdr:row>
      <xdr:rowOff>114300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12" idx="0"/>
        </xdr:cNvCxnSpPr>
      </xdr:nvCxnSpPr>
      <xdr:spPr>
        <a:xfrm flipH="1" flipV="1">
          <a:off x="9601200" y="1123950"/>
          <a:ext cx="2590800" cy="9239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523874</xdr:colOff>
      <xdr:row>6</xdr:row>
      <xdr:rowOff>104775</xdr:rowOff>
    </xdr:from>
    <xdr:to>
      <xdr:col>26</xdr:col>
      <xdr:colOff>466724</xdr:colOff>
      <xdr:row>9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3601699" y="2038350"/>
          <a:ext cx="3076575" cy="1104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/>
            <a:t>[</a:t>
          </a:r>
          <a:r>
            <a:rPr lang="ko-KR" altLang="en-US" sz="1100"/>
            <a:t>유형선택</a:t>
          </a:r>
          <a:r>
            <a:rPr lang="en-US" altLang="ko-KR" sz="1100"/>
            <a:t>] </a:t>
          </a:r>
          <a:r>
            <a:rPr lang="ko-KR" altLang="en-US" sz="1100"/>
            <a:t>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서논술형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구술발표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토의토론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프로젝트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실험실습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포트폴리오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기타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</a:t>
          </a:r>
          <a:r>
            <a:rPr lang="ko-KR" altLang="en-US" sz="1100"/>
            <a:t> 선택하세요</a:t>
          </a:r>
          <a:r>
            <a:rPr lang="en-US" altLang="ko-KR" sz="1100"/>
            <a:t>.</a:t>
          </a:r>
        </a:p>
        <a:p>
          <a:pPr algn="l"/>
          <a:r>
            <a:rPr lang="en-US" altLang="ko-KR" sz="1100"/>
            <a:t>- </a:t>
          </a:r>
          <a:r>
            <a:rPr lang="ko-KR" altLang="en-US" sz="1100" b="1" u="sng">
              <a:solidFill>
                <a:srgbClr val="FF0000"/>
              </a:solidFill>
            </a:rPr>
            <a:t>유형이 없는 셀은 </a:t>
          </a:r>
          <a:r>
            <a:rPr lang="en-US" altLang="ko-KR" sz="1100" b="1" u="sng">
              <a:solidFill>
                <a:srgbClr val="FF0000"/>
              </a:solidFill>
            </a:rPr>
            <a:t>Delete</a:t>
          </a:r>
          <a:r>
            <a:rPr lang="ko-KR" altLang="en-US" sz="1100" b="1" u="sng">
              <a:solidFill>
                <a:srgbClr val="FF0000"/>
              </a:solidFill>
            </a:rPr>
            <a:t>키로 지워 주세요</a:t>
          </a:r>
          <a:r>
            <a:rPr lang="en-US" altLang="ko-KR" sz="1100" b="1" u="sng">
              <a:solidFill>
                <a:srgbClr val="FF0000"/>
              </a:solidFill>
            </a:rPr>
            <a:t>.</a:t>
          </a:r>
          <a:endParaRPr lang="ko-KR" altLang="en-US" sz="11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381002</xdr:colOff>
      <xdr:row>2</xdr:row>
      <xdr:rowOff>266701</xdr:rowOff>
    </xdr:from>
    <xdr:to>
      <xdr:col>24</xdr:col>
      <xdr:colOff>147637</xdr:colOff>
      <xdr:row>6</xdr:row>
      <xdr:rowOff>104775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25" idx="0"/>
        </xdr:cNvCxnSpPr>
      </xdr:nvCxnSpPr>
      <xdr:spPr>
        <a:xfrm flipH="1" flipV="1">
          <a:off x="9705977" y="695326"/>
          <a:ext cx="5434010" cy="1343024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9</xdr:row>
      <xdr:rowOff>228600</xdr:rowOff>
    </xdr:from>
    <xdr:to>
      <xdr:col>28</xdr:col>
      <xdr:colOff>752475</xdr:colOff>
      <xdr:row>10</xdr:row>
      <xdr:rowOff>266700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6297275" y="3352800"/>
          <a:ext cx="2190750" cy="381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100"/>
            <a:t>[</a:t>
          </a:r>
          <a:r>
            <a:rPr lang="ko-KR" altLang="en-US" sz="1100"/>
            <a:t>추정분할</a:t>
          </a:r>
          <a:r>
            <a:rPr lang="en-US" altLang="ko-KR" sz="1100"/>
            <a:t>] </a:t>
          </a:r>
          <a:r>
            <a:rPr lang="ko-KR" altLang="en-US" sz="1100"/>
            <a:t>또는 </a:t>
          </a:r>
          <a:r>
            <a:rPr lang="en-US" altLang="ko-KR" sz="1100"/>
            <a:t>[</a:t>
          </a:r>
          <a:r>
            <a:rPr lang="ko-KR" altLang="en-US" sz="1100"/>
            <a:t>고정분할</a:t>
          </a:r>
          <a:r>
            <a:rPr lang="en-US" altLang="ko-KR" sz="1100"/>
            <a:t>] </a:t>
          </a:r>
          <a:r>
            <a:rPr lang="ko-KR" altLang="en-US" sz="1100"/>
            <a:t>선택</a:t>
          </a:r>
        </a:p>
      </xdr:txBody>
    </xdr:sp>
    <xdr:clientData/>
  </xdr:twoCellAnchor>
  <xdr:twoCellAnchor>
    <xdr:from>
      <xdr:col>26</xdr:col>
      <xdr:colOff>466725</xdr:colOff>
      <xdr:row>3</xdr:row>
      <xdr:rowOff>371475</xdr:rowOff>
    </xdr:from>
    <xdr:to>
      <xdr:col>27</xdr:col>
      <xdr:colOff>419100</xdr:colOff>
      <xdr:row>9</xdr:row>
      <xdr:rowOff>228600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stCxn id="31" idx="0"/>
        </xdr:cNvCxnSpPr>
      </xdr:nvCxnSpPr>
      <xdr:spPr>
        <a:xfrm flipH="1" flipV="1">
          <a:off x="16678275" y="1171575"/>
          <a:ext cx="714375" cy="21812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28574</xdr:colOff>
      <xdr:row>6</xdr:row>
      <xdr:rowOff>266699</xdr:rowOff>
    </xdr:from>
    <xdr:to>
      <xdr:col>31</xdr:col>
      <xdr:colOff>742950</xdr:colOff>
      <xdr:row>8</xdr:row>
      <xdr:rowOff>9524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7764124" y="2200274"/>
          <a:ext cx="3000376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100"/>
            <a:t>* 5</a:t>
          </a:r>
          <a:r>
            <a:rPr lang="ko-KR" altLang="en-US" sz="1100"/>
            <a:t>단계 </a:t>
          </a:r>
          <a:r>
            <a:rPr lang="ko-KR" altLang="en-US" sz="1100" baseline="0"/>
            <a:t> </a:t>
          </a:r>
          <a:r>
            <a:rPr lang="en-US" altLang="ko-KR" sz="1100" baseline="0"/>
            <a:t>: A, B, C, D, E (1</a:t>
          </a:r>
          <a:r>
            <a:rPr lang="ko-KR" altLang="en-US" sz="1100" baseline="0"/>
            <a:t>학년은 </a:t>
          </a:r>
          <a:r>
            <a:rPr lang="en-US" altLang="ko-KR" sz="1100" baseline="0"/>
            <a:t>I</a:t>
          </a:r>
          <a:r>
            <a:rPr lang="ko-KR" altLang="en-US" sz="1100" baseline="0"/>
            <a:t>까지</a:t>
          </a:r>
          <a:r>
            <a:rPr lang="en-US" altLang="ko-KR" sz="1100" baseline="0"/>
            <a:t>)</a:t>
          </a:r>
        </a:p>
        <a:p>
          <a:pPr algn="l"/>
          <a:r>
            <a:rPr lang="en-US" altLang="ko-KR" sz="1100" baseline="0"/>
            <a:t>* 3</a:t>
          </a:r>
          <a:r>
            <a:rPr lang="ko-KR" altLang="en-US" sz="1100" baseline="0"/>
            <a:t>단계 </a:t>
          </a:r>
          <a:r>
            <a:rPr lang="en-US" altLang="ko-KR" sz="1100" baseline="0"/>
            <a:t>: </a:t>
          </a:r>
          <a:r>
            <a:rPr lang="en-US" altLang="ko-KR" sz="1100" baseline="0">
              <a:solidFill>
                <a:srgbClr val="FF0000"/>
              </a:solidFill>
            </a:rPr>
            <a:t>A, B, C</a:t>
          </a:r>
          <a:r>
            <a:rPr lang="ko-KR" altLang="en-US" sz="1100" baseline="0"/>
            <a:t>에만 숫자를 입력해 주세요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29</xdr:col>
      <xdr:colOff>466725</xdr:colOff>
      <xdr:row>3</xdr:row>
      <xdr:rowOff>66675</xdr:rowOff>
    </xdr:from>
    <xdr:to>
      <xdr:col>30</xdr:col>
      <xdr:colOff>4762</xdr:colOff>
      <xdr:row>6</xdr:row>
      <xdr:rowOff>266699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CxnSpPr>
          <a:stCxn id="41" idx="0"/>
        </xdr:cNvCxnSpPr>
      </xdr:nvCxnSpPr>
      <xdr:spPr>
        <a:xfrm flipH="1" flipV="1">
          <a:off x="18964275" y="866775"/>
          <a:ext cx="300037" cy="1333499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15</xdr:row>
      <xdr:rowOff>85725</xdr:rowOff>
    </xdr:from>
    <xdr:to>
      <xdr:col>17</xdr:col>
      <xdr:colOff>485775</xdr:colOff>
      <xdr:row>19</xdr:row>
      <xdr:rowOff>47625</xdr:rowOff>
    </xdr:to>
    <xdr:sp macro="" textlink="">
      <xdr:nvSpPr>
        <xdr:cNvPr id="20" name="사각형 설명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8086725" y="5076825"/>
          <a:ext cx="2924175" cy="571500"/>
        </a:xfrm>
        <a:prstGeom prst="wedgeRectCallou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000" b="1"/>
            <a:t>수행평가 과제의 유형</a:t>
          </a:r>
        </a:p>
      </xdr:txBody>
    </xdr:sp>
    <xdr:clientData/>
  </xdr:twoCellAnchor>
  <xdr:twoCellAnchor editAs="oneCell">
    <xdr:from>
      <xdr:col>13</xdr:col>
      <xdr:colOff>76200</xdr:colOff>
      <xdr:row>19</xdr:row>
      <xdr:rowOff>114300</xdr:rowOff>
    </xdr:from>
    <xdr:to>
      <xdr:col>25</xdr:col>
      <xdr:colOff>269190</xdr:colOff>
      <xdr:row>51</xdr:row>
      <xdr:rowOff>63336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6E0106A-C8EF-E1ED-C75C-6EDEE45DB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50" y="5772150"/>
          <a:ext cx="6755715" cy="54354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495300</xdr:colOff>
      <xdr:row>18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800975" y="600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AG14"/>
  <sheetViews>
    <sheetView tabSelected="1" zoomScaleNormal="100" workbookViewId="0">
      <selection activeCell="R5" sqref="R5"/>
    </sheetView>
  </sheetViews>
  <sheetFormatPr defaultColWidth="8.8984375" defaultRowHeight="13.2" x14ac:dyDescent="0.2"/>
  <cols>
    <col min="1" max="1" width="5.59765625" style="1" customWidth="1"/>
    <col min="2" max="2" width="10.69921875" style="3" customWidth="1"/>
    <col min="3" max="3" width="5" style="1" customWidth="1"/>
    <col min="4" max="4" width="7.69921875" style="1" customWidth="1"/>
    <col min="5" max="5" width="20.69921875" style="1" customWidth="1"/>
    <col min="6" max="8" width="5.8984375" style="1" customWidth="1"/>
    <col min="9" max="9" width="5.296875" style="1" customWidth="1"/>
    <col min="10" max="10" width="6.3984375" style="1" bestFit="1" customWidth="1"/>
    <col min="11" max="13" width="5.8984375" style="1" customWidth="1"/>
    <col min="14" max="14" width="5.296875" style="1" bestFit="1" customWidth="1"/>
    <col min="15" max="15" width="6.3984375" style="1" bestFit="1" customWidth="1"/>
    <col min="16" max="16" width="8.296875" style="1" customWidth="1"/>
    <col min="17" max="25" width="7.3984375" style="1" customWidth="1"/>
    <col min="26" max="26" width="6.69921875" style="1" customWidth="1"/>
    <col min="27" max="27" width="8.8984375" style="1"/>
    <col min="28" max="32" width="8.69921875" style="1" customWidth="1"/>
    <col min="33" max="16384" width="8.8984375" style="1"/>
  </cols>
  <sheetData>
    <row r="1" spans="1:33" ht="13.5" customHeight="1" thickBot="1" x14ac:dyDescent="0.25">
      <c r="A1" s="120" t="s">
        <v>23</v>
      </c>
      <c r="B1" s="121" t="s">
        <v>44</v>
      </c>
      <c r="C1" s="121"/>
      <c r="D1" s="121"/>
      <c r="E1" s="121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</row>
    <row r="2" spans="1:33" ht="20.25" customHeight="1" thickBot="1" x14ac:dyDescent="0.25">
      <c r="A2" s="120"/>
      <c r="B2" s="121"/>
      <c r="C2" s="121"/>
      <c r="D2" s="121"/>
      <c r="E2" s="121"/>
      <c r="F2" s="117" t="s">
        <v>59</v>
      </c>
      <c r="G2" s="118"/>
      <c r="H2" s="118"/>
      <c r="I2" s="118"/>
      <c r="J2" s="118"/>
      <c r="K2" s="118"/>
      <c r="L2" s="118"/>
      <c r="M2" s="118"/>
      <c r="N2" s="118"/>
      <c r="O2" s="119"/>
      <c r="P2" s="129" t="s">
        <v>0</v>
      </c>
      <c r="Q2" s="130"/>
      <c r="R2" s="130"/>
      <c r="S2" s="130"/>
      <c r="T2" s="130"/>
      <c r="U2" s="130"/>
      <c r="V2" s="130"/>
      <c r="W2" s="130"/>
      <c r="X2" s="130"/>
      <c r="Y2" s="130"/>
      <c r="Z2" s="131"/>
      <c r="AA2" s="92" t="s">
        <v>11</v>
      </c>
      <c r="AB2" s="94" t="s">
        <v>9</v>
      </c>
      <c r="AC2" s="95"/>
      <c r="AD2" s="95"/>
      <c r="AE2" s="95"/>
      <c r="AF2" s="96"/>
      <c r="AG2" s="7" t="s">
        <v>19</v>
      </c>
    </row>
    <row r="3" spans="1:33" ht="29.25" customHeight="1" thickBot="1" x14ac:dyDescent="0.25">
      <c r="A3" s="6"/>
      <c r="B3" s="2"/>
      <c r="F3" s="103" t="s">
        <v>7</v>
      </c>
      <c r="G3" s="104"/>
      <c r="H3" s="104"/>
      <c r="I3" s="104"/>
      <c r="J3" s="104"/>
      <c r="K3" s="105" t="s">
        <v>8</v>
      </c>
      <c r="L3" s="105"/>
      <c r="M3" s="105"/>
      <c r="N3" s="105"/>
      <c r="O3" s="106"/>
      <c r="P3" s="86" t="s">
        <v>43</v>
      </c>
      <c r="Q3" s="59" t="s">
        <v>15</v>
      </c>
      <c r="R3" s="59" t="s">
        <v>15</v>
      </c>
      <c r="S3" s="59"/>
      <c r="T3" s="59"/>
      <c r="U3" s="59"/>
      <c r="V3" s="59"/>
      <c r="W3" s="59"/>
      <c r="X3" s="59"/>
      <c r="Y3" s="59"/>
      <c r="Z3" s="110" t="s">
        <v>21</v>
      </c>
      <c r="AA3" s="93"/>
      <c r="AB3" s="97"/>
      <c r="AC3" s="98"/>
      <c r="AD3" s="98"/>
      <c r="AE3" s="98"/>
      <c r="AF3" s="99"/>
      <c r="AG3" s="126" t="s">
        <v>62</v>
      </c>
    </row>
    <row r="4" spans="1:33" ht="56.25" customHeight="1" x14ac:dyDescent="0.2">
      <c r="A4" s="111" t="s">
        <v>1</v>
      </c>
      <c r="B4" s="113" t="s">
        <v>2</v>
      </c>
      <c r="C4" s="122" t="s">
        <v>58</v>
      </c>
      <c r="D4" s="122" t="s">
        <v>4</v>
      </c>
      <c r="E4" s="124" t="s">
        <v>5</v>
      </c>
      <c r="F4" s="115" t="s">
        <v>10</v>
      </c>
      <c r="G4" s="107" t="s">
        <v>16</v>
      </c>
      <c r="H4" s="107" t="s">
        <v>12</v>
      </c>
      <c r="I4" s="108" t="s">
        <v>18</v>
      </c>
      <c r="J4" s="108" t="s">
        <v>17</v>
      </c>
      <c r="K4" s="107" t="s">
        <v>10</v>
      </c>
      <c r="L4" s="107" t="s">
        <v>16</v>
      </c>
      <c r="M4" s="107" t="s">
        <v>12</v>
      </c>
      <c r="N4" s="108" t="s">
        <v>31</v>
      </c>
      <c r="O4" s="109" t="s">
        <v>17</v>
      </c>
      <c r="P4" s="30" t="s">
        <v>13</v>
      </c>
      <c r="Q4" s="8" t="s">
        <v>64</v>
      </c>
      <c r="R4" s="8" t="s">
        <v>65</v>
      </c>
      <c r="S4" s="8"/>
      <c r="T4" s="8"/>
      <c r="U4" s="8"/>
      <c r="V4" s="8"/>
      <c r="W4" s="8"/>
      <c r="X4" s="8"/>
      <c r="Y4" s="8"/>
      <c r="Z4" s="109"/>
      <c r="AA4" s="93"/>
      <c r="AB4" s="100"/>
      <c r="AC4" s="101"/>
      <c r="AD4" s="101"/>
      <c r="AE4" s="101"/>
      <c r="AF4" s="102"/>
      <c r="AG4" s="127"/>
    </row>
    <row r="5" spans="1:33" ht="29.25" customHeight="1" x14ac:dyDescent="0.2">
      <c r="A5" s="112"/>
      <c r="B5" s="114"/>
      <c r="C5" s="123"/>
      <c r="D5" s="123"/>
      <c r="E5" s="125"/>
      <c r="F5" s="115"/>
      <c r="G5" s="107"/>
      <c r="H5" s="107"/>
      <c r="I5" s="108"/>
      <c r="J5" s="108"/>
      <c r="K5" s="107"/>
      <c r="L5" s="107"/>
      <c r="M5" s="107"/>
      <c r="N5" s="108"/>
      <c r="O5" s="109"/>
      <c r="P5" s="30" t="s">
        <v>48</v>
      </c>
      <c r="Q5" s="9" t="s">
        <v>69</v>
      </c>
      <c r="R5" s="9" t="s">
        <v>70</v>
      </c>
      <c r="S5" s="9"/>
      <c r="T5" s="9"/>
      <c r="U5" s="9"/>
      <c r="V5" s="9"/>
      <c r="W5" s="9"/>
      <c r="X5" s="9"/>
      <c r="Y5" s="9"/>
      <c r="Z5" s="109"/>
      <c r="AA5" s="93"/>
      <c r="AB5" s="12" t="s">
        <v>50</v>
      </c>
      <c r="AC5" s="13" t="s">
        <v>51</v>
      </c>
      <c r="AD5" s="13" t="s">
        <v>52</v>
      </c>
      <c r="AE5" s="27" t="s">
        <v>53</v>
      </c>
      <c r="AF5" s="14" t="s">
        <v>55</v>
      </c>
      <c r="AG5" s="128"/>
    </row>
    <row r="6" spans="1:33" s="5" customFormat="1" ht="27" customHeight="1" thickBot="1" x14ac:dyDescent="0.3">
      <c r="A6" s="25">
        <v>1</v>
      </c>
      <c r="B6" s="18" t="s">
        <v>66</v>
      </c>
      <c r="C6" s="26">
        <v>4</v>
      </c>
      <c r="D6" s="26" t="s">
        <v>67</v>
      </c>
      <c r="E6" s="19" t="s">
        <v>68</v>
      </c>
      <c r="F6" s="33">
        <v>80</v>
      </c>
      <c r="G6" s="10">
        <v>10</v>
      </c>
      <c r="H6" s="10">
        <v>10</v>
      </c>
      <c r="I6" s="21">
        <f>SUM(F6:H6)</f>
        <v>100</v>
      </c>
      <c r="J6" s="10">
        <v>30</v>
      </c>
      <c r="K6" s="10">
        <v>80</v>
      </c>
      <c r="L6" s="10">
        <v>10</v>
      </c>
      <c r="M6" s="10">
        <v>10</v>
      </c>
      <c r="N6" s="21">
        <f>SUM(K6:M6)</f>
        <v>100</v>
      </c>
      <c r="O6" s="32">
        <v>30</v>
      </c>
      <c r="P6" s="31" t="s">
        <v>14</v>
      </c>
      <c r="Q6" s="10">
        <v>15</v>
      </c>
      <c r="R6" s="10">
        <v>25</v>
      </c>
      <c r="S6" s="10"/>
      <c r="T6" s="10"/>
      <c r="U6" s="10"/>
      <c r="V6" s="10"/>
      <c r="W6" s="10"/>
      <c r="X6" s="10"/>
      <c r="Y6" s="22"/>
      <c r="Z6" s="24">
        <f>SUM(P6:Y6)</f>
        <v>40</v>
      </c>
      <c r="AA6" s="23" t="s">
        <v>56</v>
      </c>
      <c r="AB6" s="15">
        <v>39</v>
      </c>
      <c r="AC6" s="16">
        <v>38</v>
      </c>
      <c r="AD6" s="16">
        <v>37</v>
      </c>
      <c r="AE6" s="28">
        <v>36</v>
      </c>
      <c r="AF6" s="17">
        <v>35</v>
      </c>
      <c r="AG6" s="20">
        <f>(J6*G6/100)+(O6*L6/100)+SUMPRODUCT((Q3:Y3="서논술형")*(Q6:Y6))</f>
        <v>46</v>
      </c>
    </row>
    <row r="7" spans="1:33" ht="28.5" customHeight="1" x14ac:dyDescent="0.3">
      <c r="Q7" s="83" t="s">
        <v>54</v>
      </c>
    </row>
    <row r="8" spans="1:33" ht="9" customHeight="1" x14ac:dyDescent="0.2"/>
    <row r="9" spans="1:33" ht="26.25" customHeight="1" x14ac:dyDescent="0.2">
      <c r="A9" s="89" t="s">
        <v>22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</row>
    <row r="10" spans="1:33" ht="27" customHeight="1" x14ac:dyDescent="0.2">
      <c r="A10" s="91" t="str">
        <f>IF(C10&lt;&gt;"","▶ 수정 요망","")</f>
        <v/>
      </c>
      <c r="B10" s="91"/>
      <c r="C10" s="87" t="str">
        <f>IF(AND($A$6&lt;&gt;3,$B$6&lt;&gt;"",$C$6&lt;=2,$Z$6&lt;20)," =&gt; 2학점 이하인 과목은 반드시 [수행평가 총비율]이 20%이상이 되어야 하는데 현재(Z6셀)이 ["&amp;$Z$6&amp;"%]입니다.","")</f>
        <v/>
      </c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</row>
    <row r="11" spans="1:33" ht="27" customHeight="1" x14ac:dyDescent="0.2">
      <c r="A11" s="91" t="str">
        <f t="shared" ref="A11:A14" si="0">IF(C11&lt;&gt;"","▶ 수정 요망","")</f>
        <v/>
      </c>
      <c r="B11" s="91"/>
      <c r="C11" s="88" t="str">
        <f>IF(AND($A$6&lt;&gt;3,$B$6&lt;&gt;"",$C$6&gt;=3,$AG$6&lt;30)," =&gt; 3학점 이상인 과목은 반드시 [지필평가의 서논술형+수행평가의 서논술형]이 30%이상이 되어야 하는데 현재(AG6셀)이 [" &amp; $AG$6 &amp; "%]입니다.","")</f>
        <v/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2" spans="1:33" ht="27" customHeight="1" x14ac:dyDescent="0.2">
      <c r="A12" s="91" t="str">
        <f t="shared" si="0"/>
        <v/>
      </c>
      <c r="B12" s="91"/>
      <c r="C12" s="87" t="str">
        <f>IF(AND($A$6&lt;&gt;3,$B$6&lt;&gt;"",$C$6&gt;=3,$Z$6&lt;40)," =&gt; 3단위 이상인 과목은 반드시 [수행평가 총비율]이 40%이상이 되어야 하는데 현재(Z6셀)이 [" &amp; $Z$6 &amp; "%]입니다.","")</f>
        <v/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</row>
    <row r="13" spans="1:33" ht="27" customHeight="1" x14ac:dyDescent="0.2">
      <c r="A13" s="91" t="str">
        <f t="shared" si="0"/>
        <v/>
      </c>
      <c r="B13" s="91"/>
      <c r="C13" s="87" t="str">
        <f>IF(AND(B6&lt;&gt;"",AA6="")," =&gt; [성취평가 방식]을 입력(AA6셀)해 주세요.","")</f>
        <v/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</row>
    <row r="14" spans="1:33" ht="27" customHeight="1" x14ac:dyDescent="0.2">
      <c r="A14" s="91" t="str">
        <f t="shared" si="0"/>
        <v/>
      </c>
      <c r="B14" s="91"/>
      <c r="C14" s="87" t="str">
        <f>IF(Z6&lt;&gt;0, IF(OR(AB6="",AC6="", AD6="")," =&gt; 맨 우측부분의 [수행평가 성취기준 점수]를 입력(AB6~AE6셀)해 주세요.",""),"")</f>
        <v/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</row>
  </sheetData>
  <mergeCells count="37">
    <mergeCell ref="A4:A5"/>
    <mergeCell ref="B4:B5"/>
    <mergeCell ref="F4:F5"/>
    <mergeCell ref="G4:G5"/>
    <mergeCell ref="F1:AG1"/>
    <mergeCell ref="F2:O2"/>
    <mergeCell ref="A1:A2"/>
    <mergeCell ref="B1:E2"/>
    <mergeCell ref="C4:C5"/>
    <mergeCell ref="D4:D5"/>
    <mergeCell ref="E4:E5"/>
    <mergeCell ref="AG3:AG5"/>
    <mergeCell ref="J4:J5"/>
    <mergeCell ref="K4:K5"/>
    <mergeCell ref="L4:L5"/>
    <mergeCell ref="P2:Z2"/>
    <mergeCell ref="AA2:AA5"/>
    <mergeCell ref="AB2:AF4"/>
    <mergeCell ref="F3:J3"/>
    <mergeCell ref="K3:O3"/>
    <mergeCell ref="H4:H5"/>
    <mergeCell ref="I4:I5"/>
    <mergeCell ref="M4:M5"/>
    <mergeCell ref="N4:N5"/>
    <mergeCell ref="O4:O5"/>
    <mergeCell ref="Z3:Z5"/>
    <mergeCell ref="C14:U14"/>
    <mergeCell ref="C11:U11"/>
    <mergeCell ref="C10:U10"/>
    <mergeCell ref="A9:U9"/>
    <mergeCell ref="C12:U12"/>
    <mergeCell ref="C13:U13"/>
    <mergeCell ref="A14:B14"/>
    <mergeCell ref="A10:B10"/>
    <mergeCell ref="A11:B11"/>
    <mergeCell ref="A12:B12"/>
    <mergeCell ref="A13:B13"/>
  </mergeCells>
  <phoneticPr fontId="1" type="noConversion"/>
  <conditionalFormatting sqref="C10:C14">
    <cfRule type="cellIs" dxfId="4" priority="1" operator="equal">
      <formula>"&lt;&gt;"""""</formula>
    </cfRule>
  </conditionalFormatting>
  <conditionalFormatting sqref="Q3:Y3">
    <cfRule type="cellIs" dxfId="3" priority="2" operator="equal">
      <formula>"서논술형"</formula>
    </cfRule>
  </conditionalFormatting>
  <dataValidations count="4">
    <dataValidation type="list" allowBlank="1" showInputMessage="1" showErrorMessage="1" sqref="Q3:Y3" xr:uid="{00000000-0002-0000-0000-000000000000}">
      <formula1>"서논술형, 구술발표, 토의토론, 프로젝트, 실험실습, 포트폴리오, 기타"</formula1>
    </dataValidation>
    <dataValidation type="list" allowBlank="1" showInputMessage="1" showErrorMessage="1" sqref="AA6" xr:uid="{00000000-0002-0000-0000-000001000000}">
      <formula1>"추정분할,고정분할"</formula1>
    </dataValidation>
    <dataValidation type="whole" allowBlank="1" showInputMessage="1" showErrorMessage="1" promptTitle="[숫자 입력]" prompt="숫자만 입력해 주세요!" sqref="Q6:Y6" xr:uid="{00000000-0002-0000-0000-000002000000}">
      <formula1>0</formula1>
      <formula2>100</formula2>
    </dataValidation>
    <dataValidation allowBlank="1" showInputMessage="1" showErrorMessage="1" promptTitle="여러 월에 시행하면~" prompt="예) 9월부터 10월까지 실시하면 :  9~10" sqref="Q5:Y5" xr:uid="{00000000-0002-0000-0000-000003000000}"/>
  </dataValidations>
  <pageMargins left="0" right="0" top="1.08" bottom="0" header="0" footer="0"/>
  <pageSetup paperSize="9" scale="49" orientation="landscape" r:id="rId1"/>
  <headerFooter alignWithMargins="0"/>
  <ignoredErrors>
    <ignoredError sqref="N6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  <pageSetUpPr fitToPage="1"/>
  </sheetPr>
  <dimension ref="A1:AG14"/>
  <sheetViews>
    <sheetView zoomScaleNormal="100" workbookViewId="0">
      <selection activeCell="C11" sqref="C11:T11"/>
    </sheetView>
  </sheetViews>
  <sheetFormatPr defaultColWidth="8.8984375" defaultRowHeight="13.2" x14ac:dyDescent="0.2"/>
  <cols>
    <col min="1" max="1" width="5.59765625" style="1" customWidth="1"/>
    <col min="2" max="2" width="10.69921875" style="3" customWidth="1"/>
    <col min="3" max="3" width="5" style="1" customWidth="1"/>
    <col min="4" max="4" width="7.69921875" style="1" customWidth="1"/>
    <col min="5" max="5" width="20.69921875" style="1" customWidth="1"/>
    <col min="6" max="8" width="5.8984375" style="1" customWidth="1"/>
    <col min="9" max="9" width="5.296875" style="1" customWidth="1"/>
    <col min="10" max="10" width="6.3984375" style="1" bestFit="1" customWidth="1"/>
    <col min="11" max="13" width="5.8984375" style="1" customWidth="1"/>
    <col min="14" max="14" width="5.296875" style="1" bestFit="1" customWidth="1"/>
    <col min="15" max="15" width="6.3984375" style="1" bestFit="1" customWidth="1"/>
    <col min="16" max="16" width="8.09765625" style="1" customWidth="1"/>
    <col min="17" max="25" width="7.3984375" style="1" customWidth="1"/>
    <col min="26" max="26" width="6.69921875" style="1" customWidth="1"/>
    <col min="27" max="16384" width="8.8984375" style="1"/>
  </cols>
  <sheetData>
    <row r="1" spans="1:33" ht="13.5" customHeight="1" thickBot="1" x14ac:dyDescent="0.25">
      <c r="A1" s="132" t="s">
        <v>23</v>
      </c>
      <c r="B1" s="121" t="s">
        <v>24</v>
      </c>
      <c r="C1" s="121"/>
      <c r="D1" s="121"/>
      <c r="E1" s="121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</row>
    <row r="2" spans="1:33" ht="20.25" customHeight="1" thickBot="1" x14ac:dyDescent="0.25">
      <c r="A2" s="132"/>
      <c r="B2" s="121"/>
      <c r="C2" s="121"/>
      <c r="D2" s="121"/>
      <c r="E2" s="121"/>
      <c r="F2" s="117" t="s">
        <v>59</v>
      </c>
      <c r="G2" s="118"/>
      <c r="H2" s="118"/>
      <c r="I2" s="118"/>
      <c r="J2" s="118"/>
      <c r="K2" s="118"/>
      <c r="L2" s="118"/>
      <c r="M2" s="118"/>
      <c r="N2" s="118"/>
      <c r="O2" s="119"/>
      <c r="P2" s="129" t="s">
        <v>0</v>
      </c>
      <c r="Q2" s="130"/>
      <c r="R2" s="130"/>
      <c r="S2" s="130"/>
      <c r="T2" s="130"/>
      <c r="U2" s="130"/>
      <c r="V2" s="130"/>
      <c r="W2" s="130"/>
      <c r="X2" s="130"/>
      <c r="Y2" s="130"/>
      <c r="Z2" s="131"/>
      <c r="AA2" s="92" t="s">
        <v>11</v>
      </c>
      <c r="AB2" s="94" t="s">
        <v>9</v>
      </c>
      <c r="AC2" s="95"/>
      <c r="AD2" s="95"/>
      <c r="AE2" s="95"/>
      <c r="AF2" s="96"/>
      <c r="AG2" s="7" t="s">
        <v>19</v>
      </c>
    </row>
    <row r="3" spans="1:33" ht="29.25" customHeight="1" thickBot="1" x14ac:dyDescent="0.25">
      <c r="A3" s="6"/>
      <c r="B3" s="2"/>
      <c r="F3" s="103" t="s">
        <v>7</v>
      </c>
      <c r="G3" s="104"/>
      <c r="H3" s="104"/>
      <c r="I3" s="104"/>
      <c r="J3" s="104"/>
      <c r="K3" s="105" t="s">
        <v>8</v>
      </c>
      <c r="L3" s="105"/>
      <c r="M3" s="105"/>
      <c r="N3" s="105"/>
      <c r="O3" s="106"/>
      <c r="P3" s="58" t="s">
        <v>43</v>
      </c>
      <c r="Q3" s="59" t="s">
        <v>15</v>
      </c>
      <c r="R3" s="59" t="s">
        <v>47</v>
      </c>
      <c r="S3" s="59" t="s">
        <v>46</v>
      </c>
      <c r="T3" s="59"/>
      <c r="U3" s="59"/>
      <c r="V3" s="59"/>
      <c r="W3" s="59"/>
      <c r="X3" s="59"/>
      <c r="Y3" s="59"/>
      <c r="Z3" s="110" t="s">
        <v>21</v>
      </c>
      <c r="AA3" s="93"/>
      <c r="AB3" s="97"/>
      <c r="AC3" s="98"/>
      <c r="AD3" s="98"/>
      <c r="AE3" s="98"/>
      <c r="AF3" s="99"/>
      <c r="AG3" s="126" t="s">
        <v>62</v>
      </c>
    </row>
    <row r="4" spans="1:33" ht="33" customHeight="1" x14ac:dyDescent="0.2">
      <c r="A4" s="111" t="s">
        <v>1</v>
      </c>
      <c r="B4" s="113" t="s">
        <v>2</v>
      </c>
      <c r="C4" s="122" t="s">
        <v>58</v>
      </c>
      <c r="D4" s="122" t="s">
        <v>4</v>
      </c>
      <c r="E4" s="124" t="s">
        <v>5</v>
      </c>
      <c r="F4" s="115" t="s">
        <v>10</v>
      </c>
      <c r="G4" s="107" t="s">
        <v>16</v>
      </c>
      <c r="H4" s="107" t="s">
        <v>12</v>
      </c>
      <c r="I4" s="108" t="s">
        <v>18</v>
      </c>
      <c r="J4" s="108" t="s">
        <v>17</v>
      </c>
      <c r="K4" s="107" t="s">
        <v>10</v>
      </c>
      <c r="L4" s="107" t="s">
        <v>16</v>
      </c>
      <c r="M4" s="107" t="s">
        <v>12</v>
      </c>
      <c r="N4" s="108" t="s">
        <v>32</v>
      </c>
      <c r="O4" s="109" t="s">
        <v>17</v>
      </c>
      <c r="P4" s="29" t="s">
        <v>13</v>
      </c>
      <c r="Q4" s="4" t="s">
        <v>27</v>
      </c>
      <c r="R4" s="4" t="s">
        <v>28</v>
      </c>
      <c r="S4" s="4" t="s">
        <v>29</v>
      </c>
      <c r="T4" s="4"/>
      <c r="U4" s="4"/>
      <c r="V4" s="4"/>
      <c r="W4" s="4"/>
      <c r="X4" s="4"/>
      <c r="Y4" s="4"/>
      <c r="Z4" s="109"/>
      <c r="AA4" s="93"/>
      <c r="AB4" s="100"/>
      <c r="AC4" s="101"/>
      <c r="AD4" s="101"/>
      <c r="AE4" s="101"/>
      <c r="AF4" s="102"/>
      <c r="AG4" s="127"/>
    </row>
    <row r="5" spans="1:33" ht="29.25" customHeight="1" x14ac:dyDescent="0.2">
      <c r="A5" s="112"/>
      <c r="B5" s="114"/>
      <c r="C5" s="123"/>
      <c r="D5" s="123"/>
      <c r="E5" s="125"/>
      <c r="F5" s="115"/>
      <c r="G5" s="107"/>
      <c r="H5" s="107"/>
      <c r="I5" s="108"/>
      <c r="J5" s="108"/>
      <c r="K5" s="107"/>
      <c r="L5" s="107"/>
      <c r="M5" s="107"/>
      <c r="N5" s="108"/>
      <c r="O5" s="109"/>
      <c r="P5" s="30" t="s">
        <v>48</v>
      </c>
      <c r="Q5" s="34">
        <v>4</v>
      </c>
      <c r="R5" s="34">
        <v>5</v>
      </c>
      <c r="S5" s="34">
        <v>6</v>
      </c>
      <c r="T5" s="34"/>
      <c r="U5" s="34"/>
      <c r="V5" s="34"/>
      <c r="W5" s="34"/>
      <c r="X5" s="34"/>
      <c r="Y5" s="34"/>
      <c r="Z5" s="109"/>
      <c r="AA5" s="93"/>
      <c r="AB5" s="12" t="s">
        <v>50</v>
      </c>
      <c r="AC5" s="13" t="s">
        <v>51</v>
      </c>
      <c r="AD5" s="13" t="s">
        <v>52</v>
      </c>
      <c r="AE5" s="27" t="s">
        <v>53</v>
      </c>
      <c r="AF5" s="14" t="s">
        <v>57</v>
      </c>
      <c r="AG5" s="128"/>
    </row>
    <row r="6" spans="1:33" s="5" customFormat="1" ht="27" customHeight="1" thickBot="1" x14ac:dyDescent="0.3">
      <c r="A6" s="35">
        <v>1</v>
      </c>
      <c r="B6" s="36" t="s">
        <v>25</v>
      </c>
      <c r="C6" s="37">
        <v>3</v>
      </c>
      <c r="D6" s="37" t="s">
        <v>20</v>
      </c>
      <c r="E6" s="38" t="s">
        <v>26</v>
      </c>
      <c r="F6" s="39">
        <v>60</v>
      </c>
      <c r="G6" s="40">
        <v>30</v>
      </c>
      <c r="H6" s="40">
        <v>10</v>
      </c>
      <c r="I6" s="21">
        <f>SUM(F6:H6)</f>
        <v>100</v>
      </c>
      <c r="J6" s="40">
        <v>35</v>
      </c>
      <c r="K6" s="40">
        <v>60</v>
      </c>
      <c r="L6" s="40">
        <v>30</v>
      </c>
      <c r="M6" s="40">
        <v>10</v>
      </c>
      <c r="N6" s="21">
        <f>SUM(K6:M6)</f>
        <v>100</v>
      </c>
      <c r="O6" s="11">
        <v>35</v>
      </c>
      <c r="P6" s="31" t="s">
        <v>14</v>
      </c>
      <c r="Q6" s="40">
        <v>10</v>
      </c>
      <c r="R6" s="40">
        <v>10</v>
      </c>
      <c r="S6" s="40">
        <v>10</v>
      </c>
      <c r="T6" s="40"/>
      <c r="U6" s="40"/>
      <c r="V6" s="40"/>
      <c r="W6" s="40"/>
      <c r="X6" s="40"/>
      <c r="Y6" s="41"/>
      <c r="Z6" s="24">
        <f>SUM(P6:Y6)</f>
        <v>30</v>
      </c>
      <c r="AA6" s="42" t="s">
        <v>56</v>
      </c>
      <c r="AB6" s="43">
        <v>28</v>
      </c>
      <c r="AC6" s="44">
        <v>25</v>
      </c>
      <c r="AD6" s="44">
        <v>22</v>
      </c>
      <c r="AE6" s="45">
        <v>19</v>
      </c>
      <c r="AF6" s="46">
        <v>3</v>
      </c>
      <c r="AG6" s="20">
        <f>(J6*G6/100)+(O6*L6/100)+SUMPRODUCT((Q3:Y3="서논술형")*(Q6:Y6))</f>
        <v>31</v>
      </c>
    </row>
    <row r="7" spans="1:33" ht="28.5" customHeight="1" x14ac:dyDescent="0.2"/>
    <row r="8" spans="1:33" ht="39" customHeight="1" x14ac:dyDescent="0.2"/>
    <row r="9" spans="1:33" ht="26.25" customHeight="1" x14ac:dyDescent="0.2">
      <c r="A9" s="134" t="s">
        <v>63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</row>
    <row r="10" spans="1:33" ht="27" customHeight="1" x14ac:dyDescent="0.2">
      <c r="A10" s="135" t="str">
        <f>IF(C10&lt;&gt;"","▶ 수정 요망","")</f>
        <v/>
      </c>
      <c r="B10" s="136"/>
      <c r="C10" s="137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9"/>
    </row>
    <row r="11" spans="1:33" ht="27" customHeight="1" x14ac:dyDescent="0.2">
      <c r="A11" s="91" t="str">
        <f t="shared" ref="A11:A14" si="0">IF(C11&lt;&gt;"","▶ 수정 요망","")</f>
        <v>▶ 수정 요망</v>
      </c>
      <c r="B11" s="91"/>
      <c r="C11" s="87" t="s">
        <v>60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</row>
    <row r="12" spans="1:33" ht="27" customHeight="1" x14ac:dyDescent="0.2">
      <c r="A12" s="135" t="str">
        <f t="shared" si="0"/>
        <v/>
      </c>
      <c r="B12" s="136"/>
      <c r="C12" s="137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9"/>
    </row>
    <row r="13" spans="1:33" ht="27" customHeight="1" x14ac:dyDescent="0.2">
      <c r="A13" s="91" t="str">
        <f t="shared" si="0"/>
        <v>▶ 수정 요망</v>
      </c>
      <c r="B13" s="91"/>
      <c r="C13" s="87" t="s">
        <v>61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</row>
    <row r="14" spans="1:33" ht="27" customHeight="1" x14ac:dyDescent="0.2">
      <c r="A14" s="91" t="str">
        <f t="shared" si="0"/>
        <v>▶ 수정 요망</v>
      </c>
      <c r="B14" s="91"/>
      <c r="C14" s="87" t="s">
        <v>30</v>
      </c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</row>
  </sheetData>
  <mergeCells count="37">
    <mergeCell ref="A13:B13"/>
    <mergeCell ref="C13:T13"/>
    <mergeCell ref="A14:B14"/>
    <mergeCell ref="C14:T14"/>
    <mergeCell ref="A9:T9"/>
    <mergeCell ref="A10:B10"/>
    <mergeCell ref="C10:T10"/>
    <mergeCell ref="A11:B11"/>
    <mergeCell ref="C11:T11"/>
    <mergeCell ref="A12:B12"/>
    <mergeCell ref="C12:T12"/>
    <mergeCell ref="J4:J5"/>
    <mergeCell ref="K4:K5"/>
    <mergeCell ref="L4:L5"/>
    <mergeCell ref="M4:M5"/>
    <mergeCell ref="N4:N5"/>
    <mergeCell ref="E4:E5"/>
    <mergeCell ref="F4:F5"/>
    <mergeCell ref="G4:G5"/>
    <mergeCell ref="H4:H5"/>
    <mergeCell ref="I4:I5"/>
    <mergeCell ref="A1:A2"/>
    <mergeCell ref="B1:E2"/>
    <mergeCell ref="F1:AG1"/>
    <mergeCell ref="F2:O2"/>
    <mergeCell ref="P2:Z2"/>
    <mergeCell ref="AA2:AA5"/>
    <mergeCell ref="AB2:AF4"/>
    <mergeCell ref="F3:J3"/>
    <mergeCell ref="K3:O3"/>
    <mergeCell ref="Z3:Z5"/>
    <mergeCell ref="O4:O5"/>
    <mergeCell ref="AG3:AG5"/>
    <mergeCell ref="A4:A5"/>
    <mergeCell ref="B4:B5"/>
    <mergeCell ref="C4:C5"/>
    <mergeCell ref="D4:D5"/>
  </mergeCells>
  <phoneticPr fontId="1" type="noConversion"/>
  <conditionalFormatting sqref="C10:C14">
    <cfRule type="cellIs" dxfId="2" priority="2" operator="equal">
      <formula>"&lt;&gt;"""""</formula>
    </cfRule>
  </conditionalFormatting>
  <conditionalFormatting sqref="Q3:Y3">
    <cfRule type="cellIs" dxfId="1" priority="1" operator="equal">
      <formula>"서논술형"</formula>
    </cfRule>
  </conditionalFormatting>
  <dataValidations count="2">
    <dataValidation type="list" allowBlank="1" showInputMessage="1" showErrorMessage="1" sqref="AA6" xr:uid="{00000000-0002-0000-0100-000000000000}">
      <formula1>"추정분할,고정분할"</formula1>
    </dataValidation>
    <dataValidation type="list" allowBlank="1" showInputMessage="1" showErrorMessage="1" sqref="Q3:Y3" xr:uid="{00000000-0002-0000-0100-000001000000}">
      <formula1>"서논술형, 구술발표, 토의토론, 프로젝트, 실험실습, 포트폴리오, 기타"</formula1>
    </dataValidation>
  </dataValidations>
  <pageMargins left="0" right="0" top="1.08" bottom="0" header="0" footer="0"/>
  <pageSetup paperSize="9" scale="85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0"/>
    <pageSetUpPr fitToPage="1"/>
  </sheetPr>
  <dimension ref="A1:AG15"/>
  <sheetViews>
    <sheetView zoomScaleNormal="100" workbookViewId="0">
      <selection activeCell="E9" sqref="E9"/>
    </sheetView>
  </sheetViews>
  <sheetFormatPr defaultColWidth="8.8984375" defaultRowHeight="13.2" x14ac:dyDescent="0.2"/>
  <cols>
    <col min="1" max="1" width="5.59765625" style="1" customWidth="1"/>
    <col min="2" max="2" width="10.69921875" style="3" customWidth="1"/>
    <col min="3" max="3" width="5" style="1" customWidth="1"/>
    <col min="4" max="4" width="7.69921875" style="1" customWidth="1"/>
    <col min="5" max="5" width="20.69921875" style="1" customWidth="1"/>
    <col min="6" max="6" width="6.69921875" style="1" customWidth="1"/>
    <col min="7" max="8" width="5.8984375" style="1" customWidth="1"/>
    <col min="9" max="9" width="5.296875" style="1" customWidth="1"/>
    <col min="10" max="10" width="6.3984375" style="1" bestFit="1" customWidth="1"/>
    <col min="11" max="13" width="5.8984375" style="1" customWidth="1"/>
    <col min="14" max="14" width="5.296875" style="1" bestFit="1" customWidth="1"/>
    <col min="15" max="15" width="6.3984375" style="1" bestFit="1" customWidth="1"/>
    <col min="16" max="16" width="9" style="1" customWidth="1"/>
    <col min="17" max="17" width="9" style="1" bestFit="1" customWidth="1"/>
    <col min="18" max="18" width="10" style="1" bestFit="1" customWidth="1"/>
    <col min="19" max="23" width="7.3984375" style="1" customWidth="1"/>
    <col min="24" max="24" width="9" style="1" customWidth="1"/>
    <col min="25" max="25" width="7.3984375" style="1" customWidth="1"/>
    <col min="26" max="26" width="6.69921875" style="1" customWidth="1"/>
    <col min="27" max="31" width="8.8984375" style="1"/>
    <col min="32" max="32" width="0.69921875" style="1" customWidth="1"/>
    <col min="33" max="16384" width="8.8984375" style="1"/>
  </cols>
  <sheetData>
    <row r="1" spans="1:33" ht="13.5" customHeight="1" thickBot="1" x14ac:dyDescent="0.25">
      <c r="A1" s="132" t="s">
        <v>23</v>
      </c>
      <c r="B1" s="121" t="s">
        <v>24</v>
      </c>
      <c r="C1" s="121"/>
      <c r="D1" s="121"/>
      <c r="E1" s="121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</row>
    <row r="2" spans="1:33" ht="20.25" customHeight="1" thickBot="1" x14ac:dyDescent="0.25">
      <c r="A2" s="132"/>
      <c r="B2" s="121"/>
      <c r="C2" s="121"/>
      <c r="D2" s="121"/>
      <c r="E2" s="121"/>
      <c r="F2" s="117" t="s">
        <v>6</v>
      </c>
      <c r="G2" s="118"/>
      <c r="H2" s="118"/>
      <c r="I2" s="118"/>
      <c r="J2" s="118"/>
      <c r="K2" s="118"/>
      <c r="L2" s="118"/>
      <c r="M2" s="118"/>
      <c r="N2" s="118"/>
      <c r="O2" s="119"/>
      <c r="P2" s="129" t="s">
        <v>0</v>
      </c>
      <c r="Q2" s="130"/>
      <c r="R2" s="130"/>
      <c r="S2" s="130"/>
      <c r="T2" s="130"/>
      <c r="U2" s="130"/>
      <c r="V2" s="130"/>
      <c r="W2" s="130"/>
      <c r="X2" s="130"/>
      <c r="Y2" s="130"/>
      <c r="Z2" s="131"/>
      <c r="AA2" s="92" t="s">
        <v>11</v>
      </c>
      <c r="AB2" s="94" t="s">
        <v>9</v>
      </c>
      <c r="AC2" s="95"/>
      <c r="AD2" s="95"/>
      <c r="AE2" s="95"/>
      <c r="AF2" s="96"/>
      <c r="AG2" s="7" t="s">
        <v>19</v>
      </c>
    </row>
    <row r="3" spans="1:33" ht="29.25" customHeight="1" thickBot="1" x14ac:dyDescent="0.25">
      <c r="A3" s="6"/>
      <c r="B3" s="2"/>
      <c r="F3" s="103" t="s">
        <v>7</v>
      </c>
      <c r="G3" s="104"/>
      <c r="H3" s="104"/>
      <c r="I3" s="104"/>
      <c r="J3" s="104"/>
      <c r="K3" s="105" t="s">
        <v>8</v>
      </c>
      <c r="L3" s="105"/>
      <c r="M3" s="105"/>
      <c r="N3" s="105"/>
      <c r="O3" s="106"/>
      <c r="P3" s="58" t="s">
        <v>43</v>
      </c>
      <c r="Q3" s="60" t="str">
        <f>'★계획★(여기에 작성 요망)'!Q3</f>
        <v>서논술형</v>
      </c>
      <c r="R3" s="60" t="str">
        <f>'★계획★(여기에 작성 요망)'!R3</f>
        <v>서논술형</v>
      </c>
      <c r="S3" s="60">
        <f>'★계획★(여기에 작성 요망)'!S3</f>
        <v>0</v>
      </c>
      <c r="T3" s="60">
        <f>'★계획★(여기에 작성 요망)'!T3</f>
        <v>0</v>
      </c>
      <c r="U3" s="60">
        <f>'★계획★(여기에 작성 요망)'!U3</f>
        <v>0</v>
      </c>
      <c r="V3" s="60">
        <f>'★계획★(여기에 작성 요망)'!V3</f>
        <v>0</v>
      </c>
      <c r="W3" s="60">
        <f>'★계획★(여기에 작성 요망)'!W3</f>
        <v>0</v>
      </c>
      <c r="X3" s="60">
        <f>'★계획★(여기에 작성 요망)'!X3</f>
        <v>0</v>
      </c>
      <c r="Y3" s="60">
        <f>'★계획★(여기에 작성 요망)'!Y3</f>
        <v>0</v>
      </c>
      <c r="Z3" s="110" t="s">
        <v>21</v>
      </c>
      <c r="AA3" s="93"/>
      <c r="AB3" s="97"/>
      <c r="AC3" s="98"/>
      <c r="AD3" s="98"/>
      <c r="AE3" s="98"/>
      <c r="AF3" s="99"/>
      <c r="AG3" s="126" t="s">
        <v>45</v>
      </c>
    </row>
    <row r="4" spans="1:33" ht="51" customHeight="1" x14ac:dyDescent="0.2">
      <c r="A4" s="111" t="s">
        <v>1</v>
      </c>
      <c r="B4" s="113" t="s">
        <v>2</v>
      </c>
      <c r="C4" s="122" t="s">
        <v>3</v>
      </c>
      <c r="D4" s="122" t="s">
        <v>4</v>
      </c>
      <c r="E4" s="124" t="s">
        <v>5</v>
      </c>
      <c r="F4" s="144" t="s">
        <v>10</v>
      </c>
      <c r="G4" s="107" t="s">
        <v>16</v>
      </c>
      <c r="H4" s="107" t="s">
        <v>12</v>
      </c>
      <c r="I4" s="108" t="s">
        <v>18</v>
      </c>
      <c r="J4" s="108" t="s">
        <v>17</v>
      </c>
      <c r="K4" s="107" t="s">
        <v>10</v>
      </c>
      <c r="L4" s="107" t="s">
        <v>16</v>
      </c>
      <c r="M4" s="107" t="s">
        <v>12</v>
      </c>
      <c r="N4" s="108" t="s">
        <v>18</v>
      </c>
      <c r="O4" s="109" t="s">
        <v>17</v>
      </c>
      <c r="P4" s="29" t="s">
        <v>13</v>
      </c>
      <c r="Q4" s="4" t="str">
        <f>IF('★계획★(여기에 작성 요망)'!Q4&lt;&gt;"",'★계획★(여기에 작성 요망)'!Q4,"")</f>
        <v>단원별 핵심 개념 구조화를 통해 단계별 문제 해결하기</v>
      </c>
      <c r="R4" s="4" t="str">
        <f>IF('★계획★(여기에 작성 요망)'!R4&lt;&gt;"",'★계획★(여기에 작성 요망)'!R4,"")</f>
        <v>수학 과제 탐구를 통한 실생활 문제 수학적으로 표현하기</v>
      </c>
      <c r="S4" s="4" t="str">
        <f>IF('★계획★(여기에 작성 요망)'!S4&lt;&gt;"",'★계획★(여기에 작성 요망)'!S4,"")</f>
        <v/>
      </c>
      <c r="T4" s="4" t="str">
        <f>IF('★계획★(여기에 작성 요망)'!T4&lt;&gt;"",'★계획★(여기에 작성 요망)'!T4,"")</f>
        <v/>
      </c>
      <c r="U4" s="4" t="str">
        <f>IF('★계획★(여기에 작성 요망)'!U4&lt;&gt;"",'★계획★(여기에 작성 요망)'!U4,"")</f>
        <v/>
      </c>
      <c r="V4" s="4" t="str">
        <f>IF('★계획★(여기에 작성 요망)'!V4&lt;&gt;"",'★계획★(여기에 작성 요망)'!V4,"")</f>
        <v/>
      </c>
      <c r="W4" s="4" t="str">
        <f>IF('★계획★(여기에 작성 요망)'!W4&lt;&gt;"",'★계획★(여기에 작성 요망)'!W4,"")</f>
        <v/>
      </c>
      <c r="X4" s="4" t="str">
        <f>IF('★계획★(여기에 작성 요망)'!X4&lt;&gt;"",'★계획★(여기에 작성 요망)'!X4,"")</f>
        <v/>
      </c>
      <c r="Y4" s="4" t="str">
        <f>IF('★계획★(여기에 작성 요망)'!Y4&lt;&gt;"",'★계획★(여기에 작성 요망)'!Y4,"")</f>
        <v/>
      </c>
      <c r="Z4" s="109"/>
      <c r="AA4" s="93"/>
      <c r="AB4" s="100"/>
      <c r="AC4" s="101"/>
      <c r="AD4" s="101"/>
      <c r="AE4" s="101"/>
      <c r="AF4" s="102"/>
      <c r="AG4" s="127"/>
    </row>
    <row r="5" spans="1:33" ht="29.25" customHeight="1" x14ac:dyDescent="0.2">
      <c r="A5" s="112"/>
      <c r="B5" s="114"/>
      <c r="C5" s="123"/>
      <c r="D5" s="123"/>
      <c r="E5" s="125"/>
      <c r="F5" s="144"/>
      <c r="G5" s="107"/>
      <c r="H5" s="107"/>
      <c r="I5" s="108"/>
      <c r="J5" s="108"/>
      <c r="K5" s="107"/>
      <c r="L5" s="107"/>
      <c r="M5" s="107"/>
      <c r="N5" s="108"/>
      <c r="O5" s="109"/>
      <c r="P5" s="30" t="s">
        <v>49</v>
      </c>
      <c r="Q5" s="47" t="str">
        <f>IF('★계획★(여기에 작성 요망)'!Q5&lt;&gt;"",'★계획★(여기에 작성 요망)'!Q5,)</f>
        <v>3~7</v>
      </c>
      <c r="R5" s="47" t="str">
        <f>IF('★계획★(여기에 작성 요망)'!R5&lt;&gt;"",'★계획★(여기에 작성 요망)'!R5,)</f>
        <v>4,6</v>
      </c>
      <c r="S5" s="47">
        <f>IF('★계획★(여기에 작성 요망)'!S5&lt;&gt;"",'★계획★(여기에 작성 요망)'!S5,)</f>
        <v>0</v>
      </c>
      <c r="T5" s="47">
        <f>IF('★계획★(여기에 작성 요망)'!T5&lt;&gt;"",'★계획★(여기에 작성 요망)'!T5,)</f>
        <v>0</v>
      </c>
      <c r="U5" s="47">
        <f>IF('★계획★(여기에 작성 요망)'!U5&lt;&gt;"",'★계획★(여기에 작성 요망)'!U5,)</f>
        <v>0</v>
      </c>
      <c r="V5" s="47">
        <f>IF('★계획★(여기에 작성 요망)'!V5&lt;&gt;"",'★계획★(여기에 작성 요망)'!V5,)</f>
        <v>0</v>
      </c>
      <c r="W5" s="47">
        <f>IF('★계획★(여기에 작성 요망)'!W5&lt;&gt;"",'★계획★(여기에 작성 요망)'!W5,)</f>
        <v>0</v>
      </c>
      <c r="X5" s="47">
        <f>IF('★계획★(여기에 작성 요망)'!X5&lt;&gt;"",'★계획★(여기에 작성 요망)'!X5,)</f>
        <v>0</v>
      </c>
      <c r="Y5" s="47">
        <f>IF('★계획★(여기에 작성 요망)'!Y5&lt;&gt;"",'★계획★(여기에 작성 요망)'!Y5,)</f>
        <v>0</v>
      </c>
      <c r="Z5" s="109"/>
      <c r="AA5" s="93"/>
      <c r="AB5" s="12" t="s">
        <v>50</v>
      </c>
      <c r="AC5" s="13" t="s">
        <v>51</v>
      </c>
      <c r="AD5" s="13" t="s">
        <v>52</v>
      </c>
      <c r="AE5" s="27" t="s">
        <v>53</v>
      </c>
      <c r="AF5" s="14"/>
      <c r="AG5" s="128"/>
    </row>
    <row r="6" spans="1:33" s="5" customFormat="1" ht="27" customHeight="1" thickBot="1" x14ac:dyDescent="0.3">
      <c r="A6" s="67">
        <f>'★계획★(여기에 작성 요망)'!A6</f>
        <v>1</v>
      </c>
      <c r="B6" s="68" t="str">
        <f>'★계획★(여기에 작성 요망)'!B6</f>
        <v>공통수학1</v>
      </c>
      <c r="C6" s="69">
        <f>'★계획★(여기에 작성 요망)'!C6</f>
        <v>4</v>
      </c>
      <c r="D6" s="69" t="str">
        <f>'★계획★(여기에 작성 요망)'!D6</f>
        <v>정요한</v>
      </c>
      <c r="E6" s="70" t="str">
        <f>'★계획★(여기에 작성 요망)'!E6</f>
        <v>정요한, 김은상, 장재욱</v>
      </c>
      <c r="F6" s="71">
        <f>'★계획★(여기에 작성 요망)'!F6</f>
        <v>80</v>
      </c>
      <c r="G6" s="72">
        <f>'★계획★(여기에 작성 요망)'!G6</f>
        <v>10</v>
      </c>
      <c r="H6" s="72">
        <f>'★계획★(여기에 작성 요망)'!H6</f>
        <v>10</v>
      </c>
      <c r="I6" s="73">
        <f>'★계획★(여기에 작성 요망)'!I6</f>
        <v>100</v>
      </c>
      <c r="J6" s="72">
        <f>'★계획★(여기에 작성 요망)'!J6</f>
        <v>30</v>
      </c>
      <c r="K6" s="72">
        <f>'★계획★(여기에 작성 요망)'!K6</f>
        <v>80</v>
      </c>
      <c r="L6" s="72">
        <f>'★계획★(여기에 작성 요망)'!L6</f>
        <v>10</v>
      </c>
      <c r="M6" s="72">
        <f>'★계획★(여기에 작성 요망)'!M6</f>
        <v>10</v>
      </c>
      <c r="N6" s="73">
        <f>'★계획★(여기에 작성 요망)'!N6</f>
        <v>100</v>
      </c>
      <c r="O6" s="74">
        <f>'★계획★(여기에 작성 요망)'!O6</f>
        <v>30</v>
      </c>
      <c r="P6" s="75" t="s">
        <v>14</v>
      </c>
      <c r="Q6" s="76">
        <f>IF('★계획★(여기에 작성 요망)'!Q6&lt;&gt;"",'★계획★(여기에 작성 요망)'!Q6,)</f>
        <v>15</v>
      </c>
      <c r="R6" s="76">
        <f>IF('★계획★(여기에 작성 요망)'!R6&lt;&gt;"",'★계획★(여기에 작성 요망)'!R6,)</f>
        <v>25</v>
      </c>
      <c r="S6" s="76">
        <f>IF('★계획★(여기에 작성 요망)'!S6&lt;&gt;"",'★계획★(여기에 작성 요망)'!S6,)</f>
        <v>0</v>
      </c>
      <c r="T6" s="76">
        <f>IF('★계획★(여기에 작성 요망)'!T6&lt;&gt;"",'★계획★(여기에 작성 요망)'!T6,)</f>
        <v>0</v>
      </c>
      <c r="U6" s="76">
        <f>IF('★계획★(여기에 작성 요망)'!U6&lt;&gt;"",'★계획★(여기에 작성 요망)'!U6,)</f>
        <v>0</v>
      </c>
      <c r="V6" s="76">
        <f>IF('★계획★(여기에 작성 요망)'!V6&lt;&gt;"",'★계획★(여기에 작성 요망)'!V6,)</f>
        <v>0</v>
      </c>
      <c r="W6" s="76">
        <f>IF('★계획★(여기에 작성 요망)'!W6&lt;&gt;"",'★계획★(여기에 작성 요망)'!W6,)</f>
        <v>0</v>
      </c>
      <c r="X6" s="76">
        <f>IF('★계획★(여기에 작성 요망)'!X6&lt;&gt;"",'★계획★(여기에 작성 요망)'!X6,)</f>
        <v>0</v>
      </c>
      <c r="Y6" s="76">
        <f>IF('★계획★(여기에 작성 요망)'!Y6&lt;&gt;"",'★계획★(여기에 작성 요망)'!Y6,)</f>
        <v>0</v>
      </c>
      <c r="Z6" s="77">
        <f>'★계획★(여기에 작성 요망)'!Z6</f>
        <v>40</v>
      </c>
      <c r="AA6" s="61" t="str">
        <f>'★계획★(여기에 작성 요망)'!AA6</f>
        <v>추정분할</v>
      </c>
      <c r="AB6" s="63">
        <f>'★계획★(여기에 작성 요망)'!AB6</f>
        <v>39</v>
      </c>
      <c r="AC6" s="64">
        <f>'★계획★(여기에 작성 요망)'!AC6</f>
        <v>38</v>
      </c>
      <c r="AD6" s="64">
        <f>'★계획★(여기에 작성 요망)'!AD6</f>
        <v>37</v>
      </c>
      <c r="AE6" s="65">
        <f>'★계획★(여기에 작성 요망)'!AE6</f>
        <v>36</v>
      </c>
      <c r="AF6" s="66">
        <f>'★계획★(여기에 작성 요망)'!AF6</f>
        <v>35</v>
      </c>
      <c r="AG6" s="85">
        <f>'★계획★(여기에 작성 요망)'!AG6</f>
        <v>46</v>
      </c>
    </row>
    <row r="7" spans="1:33" s="5" customFormat="1" ht="27" customHeight="1" x14ac:dyDescent="0.25">
      <c r="A7" s="48"/>
      <c r="B7" s="49"/>
      <c r="C7" s="48"/>
      <c r="D7" s="48"/>
      <c r="E7" s="50"/>
      <c r="F7" s="51"/>
      <c r="G7" s="51"/>
      <c r="H7" s="51"/>
      <c r="I7" s="51"/>
      <c r="J7" s="51"/>
      <c r="K7" s="51"/>
      <c r="L7" s="51"/>
      <c r="M7" s="51"/>
      <c r="N7" s="51"/>
      <c r="O7" s="51"/>
      <c r="P7" s="52"/>
      <c r="Q7" s="52"/>
      <c r="R7" s="52"/>
      <c r="S7" s="52"/>
      <c r="T7" s="52"/>
      <c r="U7" s="52"/>
      <c r="V7" s="52"/>
      <c r="W7" s="52"/>
      <c r="X7" s="52"/>
      <c r="Y7" s="51"/>
      <c r="Z7" s="51"/>
      <c r="AA7" s="51"/>
      <c r="AB7" s="53"/>
      <c r="AC7" s="53"/>
      <c r="AD7" s="53"/>
      <c r="AE7" s="53"/>
      <c r="AF7" s="53"/>
      <c r="AG7" s="51"/>
    </row>
    <row r="8" spans="1:33" ht="13.5" customHeight="1" x14ac:dyDescent="0.2">
      <c r="P8" s="142" t="s">
        <v>37</v>
      </c>
      <c r="Q8" s="142"/>
      <c r="R8" s="141" t="s">
        <v>21</v>
      </c>
      <c r="S8" s="140" t="s">
        <v>35</v>
      </c>
      <c r="T8" s="142" t="s">
        <v>36</v>
      </c>
      <c r="U8" s="142"/>
      <c r="V8" s="142"/>
      <c r="W8" s="142"/>
      <c r="X8" s="142"/>
      <c r="Y8" s="140" t="s">
        <v>38</v>
      </c>
    </row>
    <row r="9" spans="1:33" ht="33.75" customHeight="1" x14ac:dyDescent="0.2">
      <c r="A9" s="54" t="s">
        <v>42</v>
      </c>
      <c r="P9" s="82" t="s">
        <v>33</v>
      </c>
      <c r="Q9" s="82" t="s">
        <v>34</v>
      </c>
      <c r="R9" s="143"/>
      <c r="S9" s="141"/>
      <c r="T9" s="82" t="str">
        <f t="shared" ref="T9:X10" si="0">AB5</f>
        <v>A/B</v>
      </c>
      <c r="U9" s="82" t="str">
        <f t="shared" si="0"/>
        <v>B/C</v>
      </c>
      <c r="V9" s="82" t="str">
        <f t="shared" si="0"/>
        <v>C/D</v>
      </c>
      <c r="W9" s="82" t="str">
        <f t="shared" si="0"/>
        <v>D/E</v>
      </c>
      <c r="X9" s="82">
        <f t="shared" si="0"/>
        <v>0</v>
      </c>
      <c r="Y9" s="140"/>
    </row>
    <row r="10" spans="1:33" s="79" customFormat="1" ht="13.5" customHeight="1" x14ac:dyDescent="0.2">
      <c r="A10" s="62">
        <f t="shared" ref="A10:O10" si="1">A6</f>
        <v>1</v>
      </c>
      <c r="B10" s="78" t="str">
        <f t="shared" si="1"/>
        <v>공통수학1</v>
      </c>
      <c r="C10" s="62">
        <f t="shared" si="1"/>
        <v>4</v>
      </c>
      <c r="D10" s="62" t="str">
        <f t="shared" si="1"/>
        <v>정요한</v>
      </c>
      <c r="E10" s="62" t="str">
        <f t="shared" si="1"/>
        <v>정요한, 김은상, 장재욱</v>
      </c>
      <c r="F10" s="62">
        <f t="shared" si="1"/>
        <v>80</v>
      </c>
      <c r="G10" s="62">
        <f t="shared" si="1"/>
        <v>10</v>
      </c>
      <c r="H10" s="62">
        <f t="shared" si="1"/>
        <v>10</v>
      </c>
      <c r="I10" s="62">
        <f t="shared" si="1"/>
        <v>100</v>
      </c>
      <c r="J10" s="62">
        <f t="shared" si="1"/>
        <v>30</v>
      </c>
      <c r="K10" s="62">
        <f t="shared" si="1"/>
        <v>80</v>
      </c>
      <c r="L10" s="62">
        <f t="shared" si="1"/>
        <v>10</v>
      </c>
      <c r="M10" s="62">
        <f t="shared" si="1"/>
        <v>10</v>
      </c>
      <c r="N10" s="62">
        <f t="shared" si="1"/>
        <v>100</v>
      </c>
      <c r="O10" s="62">
        <f t="shared" si="1"/>
        <v>30</v>
      </c>
      <c r="P10" s="62">
        <f>SUMPRODUCT((Q3:Y3="서논술형")*(Q6:Y6))</f>
        <v>40</v>
      </c>
      <c r="Q10" s="62">
        <f>SUMPRODUCT((Q3:Y3&lt;&gt;"서논술형")*(Q6:Y6))</f>
        <v>0</v>
      </c>
      <c r="R10" s="62">
        <f>Z6</f>
        <v>40</v>
      </c>
      <c r="S10" s="62" t="str">
        <f>AA6</f>
        <v>추정분할</v>
      </c>
      <c r="T10" s="62">
        <f t="shared" si="0"/>
        <v>39</v>
      </c>
      <c r="U10" s="62">
        <f t="shared" si="0"/>
        <v>38</v>
      </c>
      <c r="V10" s="62">
        <f t="shared" si="0"/>
        <v>37</v>
      </c>
      <c r="W10" s="62">
        <f t="shared" si="0"/>
        <v>36</v>
      </c>
      <c r="X10" s="62">
        <f t="shared" si="0"/>
        <v>35</v>
      </c>
      <c r="Y10" s="84">
        <f>AG6</f>
        <v>46</v>
      </c>
    </row>
    <row r="11" spans="1:33" ht="9" customHeight="1" x14ac:dyDescent="0.2"/>
    <row r="12" spans="1:33" ht="7.5" customHeight="1" x14ac:dyDescent="0.2"/>
    <row r="13" spans="1:33" ht="7.5" customHeight="1" x14ac:dyDescent="0.2"/>
    <row r="14" spans="1:33" ht="39.6" x14ac:dyDescent="0.2">
      <c r="A14" s="54" t="s">
        <v>41</v>
      </c>
      <c r="B14" s="55"/>
      <c r="C14" s="56"/>
      <c r="D14" s="56"/>
      <c r="E14" s="56"/>
      <c r="F14" s="142" t="s">
        <v>39</v>
      </c>
      <c r="G14" s="142"/>
      <c r="H14" s="142"/>
      <c r="I14" s="142"/>
      <c r="J14" s="142"/>
      <c r="K14" s="142"/>
      <c r="L14" s="142"/>
      <c r="M14" s="142"/>
      <c r="N14" s="142"/>
      <c r="O14" s="57" t="s">
        <v>40</v>
      </c>
    </row>
    <row r="15" spans="1:33" s="79" customFormat="1" ht="84" customHeight="1" x14ac:dyDescent="0.2">
      <c r="A15" s="80">
        <f>A10</f>
        <v>1</v>
      </c>
      <c r="B15" s="80" t="str">
        <f t="shared" ref="B15:E15" si="2">B10</f>
        <v>공통수학1</v>
      </c>
      <c r="C15" s="80">
        <f t="shared" si="2"/>
        <v>4</v>
      </c>
      <c r="D15" s="80" t="str">
        <f t="shared" si="2"/>
        <v>정요한</v>
      </c>
      <c r="E15" s="80" t="str">
        <f t="shared" si="2"/>
        <v>정요한, 김은상, 장재욱</v>
      </c>
      <c r="F15" s="81" t="str">
        <f t="shared" ref="F15:N15" si="3">IF(AND(Q3="서논술형",Q4&lt;&gt;""),"(★)"&amp;Q4&amp;"("&amp;Q5&amp;"월, "&amp;Q6&amp;"%)",IF(AND(Q3&lt;&gt;"서논술형",Q4&lt;&gt;""),Q4&amp;"("&amp;Q5&amp;"월, "&amp;Q6&amp;"%)",""))</f>
        <v>(★)단원별 핵심 개념 구조화를 통해 단계별 문제 해결하기(3~7월, 15%)</v>
      </c>
      <c r="G15" s="81" t="str">
        <f t="shared" si="3"/>
        <v>(★)수학 과제 탐구를 통한 실생활 문제 수학적으로 표현하기(4,6월, 25%)</v>
      </c>
      <c r="H15" s="81" t="str">
        <f t="shared" si="3"/>
        <v/>
      </c>
      <c r="I15" s="81" t="str">
        <f t="shared" si="3"/>
        <v/>
      </c>
      <c r="J15" s="81" t="str">
        <f t="shared" si="3"/>
        <v/>
      </c>
      <c r="K15" s="81" t="str">
        <f t="shared" si="3"/>
        <v/>
      </c>
      <c r="L15" s="81" t="str">
        <f t="shared" si="3"/>
        <v/>
      </c>
      <c r="M15" s="81" t="str">
        <f t="shared" si="3"/>
        <v/>
      </c>
      <c r="N15" s="81" t="str">
        <f t="shared" si="3"/>
        <v/>
      </c>
      <c r="O15" s="80">
        <f>Z6</f>
        <v>40</v>
      </c>
    </row>
  </sheetData>
  <sheetProtection sheet="1" objects="1" scenarios="1"/>
  <mergeCells count="32">
    <mergeCell ref="A1:A2"/>
    <mergeCell ref="B1:E2"/>
    <mergeCell ref="F1:AG1"/>
    <mergeCell ref="F2:O2"/>
    <mergeCell ref="P2:Z2"/>
    <mergeCell ref="AA2:AA5"/>
    <mergeCell ref="AB2:AF4"/>
    <mergeCell ref="F3:J3"/>
    <mergeCell ref="K3:O3"/>
    <mergeCell ref="Z3:Z5"/>
    <mergeCell ref="O4:O5"/>
    <mergeCell ref="AG3:AG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S8:S9"/>
    <mergeCell ref="P8:Q8"/>
    <mergeCell ref="T8:X8"/>
    <mergeCell ref="Y8:Y9"/>
    <mergeCell ref="F14:N14"/>
    <mergeCell ref="R8:R9"/>
  </mergeCells>
  <phoneticPr fontId="1" type="noConversion"/>
  <conditionalFormatting sqref="Q3:Y3">
    <cfRule type="cellIs" dxfId="0" priority="2" operator="equal">
      <formula>"서논술형"</formula>
    </cfRule>
  </conditionalFormatting>
  <dataValidations count="2">
    <dataValidation type="whole" allowBlank="1" showInputMessage="1" showErrorMessage="1" promptTitle="[숫자 입력]" prompt="숫자만 입력해 주세요!" sqref="Y7" xr:uid="{00000000-0002-0000-0200-000000000000}">
      <formula1>0</formula1>
      <formula2>100</formula2>
    </dataValidation>
    <dataValidation type="list" allowBlank="1" showInputMessage="1" showErrorMessage="1" sqref="AA6:AA7" xr:uid="{00000000-0002-0000-0200-000001000000}">
      <formula1>"교과분할,고정분할"</formula1>
    </dataValidation>
  </dataValidations>
  <pageMargins left="0" right="0" top="1.08" bottom="0" header="0" footer="0"/>
  <pageSetup paperSize="9" scale="85" orientation="landscape" r:id="rId1"/>
  <headerFooter alignWithMargins="0"/>
  <ignoredErrors>
    <ignoredError sqref="A6:O6 A10:O10 Q4:Y4 Q5:Y6 Z6:AA6 AB6:AG6 A15 B15:E15 O15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216512207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★계획★(여기에 작성 요망)</vt:lpstr>
      <vt:lpstr>예시</vt:lpstr>
      <vt:lpstr>고사계참고용(작업금지)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김은상</cp:lastModifiedBy>
  <cp:revision/>
  <cp:lastPrinted>2013-06-25T05:38:51Z</cp:lastPrinted>
  <dcterms:created xsi:type="dcterms:W3CDTF">2012-08-29T16:47:13Z</dcterms:created>
  <dcterms:modified xsi:type="dcterms:W3CDTF">2026-03-11T04:12:00Z</dcterms:modified>
</cp:coreProperties>
</file>