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현재_통합_문서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★계획★(여기에 작성 요망)" sheetId="1" state="visible" r:id="rId1"/>
    <sheet name="예시" sheetId="2" state="visible" r:id="rId2"/>
    <sheet name="고사계참고용(작업금지)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_ "/>
    <numFmt numFmtId="165" formatCode="##"/>
    <numFmt numFmtId="166" formatCode="#"/>
    <numFmt numFmtId="167" formatCode="0.0_ "/>
    <numFmt numFmtId="168" formatCode="0_);[Red]\(0\)"/>
  </numFmts>
  <fonts count="26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8"/>
      <sz val="10"/>
    </font>
    <font>
      <name val="돋움"/>
      <charset val="129"/>
      <family val="3"/>
      <color indexed="8"/>
      <sz val="10"/>
    </font>
    <font>
      <name val="돋움"/>
      <charset val="129"/>
      <family val="3"/>
      <color rgb="FF0070C0"/>
      <sz val="10"/>
    </font>
    <font>
      <name val="맑은 고딕"/>
      <charset val="129"/>
      <family val="2"/>
      <sz val="8"/>
      <scheme val="minor"/>
    </font>
    <font>
      <name val="돋움"/>
      <charset val="129"/>
      <family val="3"/>
      <color rgb="FFFF0000"/>
      <sz val="10"/>
    </font>
    <font>
      <name val="돋움"/>
      <charset val="129"/>
      <family val="3"/>
      <b val="1"/>
      <color indexed="8"/>
      <sz val="12"/>
    </font>
    <font>
      <name val="돋움"/>
      <charset val="129"/>
      <family val="3"/>
      <b val="1"/>
      <color indexed="8"/>
      <sz val="14"/>
    </font>
    <font>
      <name val="돋움"/>
      <charset val="129"/>
      <family val="3"/>
      <b val="1"/>
      <color rgb="FFFF0000"/>
      <sz val="14"/>
    </font>
    <font>
      <name val="돋움"/>
      <charset val="129"/>
      <family val="3"/>
      <sz val="12"/>
    </font>
    <font>
      <name val="돋움"/>
      <charset val="129"/>
      <family val="3"/>
      <color rgb="FFFF0000"/>
      <sz val="12"/>
    </font>
    <font>
      <name val="돋움"/>
      <charset val="129"/>
      <family val="3"/>
      <b val="1"/>
      <color rgb="FFFF0000"/>
      <sz val="16"/>
    </font>
    <font>
      <name val="굴림"/>
      <charset val="129"/>
      <family val="3"/>
      <color indexed="8"/>
      <sz val="12"/>
    </font>
    <font>
      <name val="돋움"/>
      <charset val="129"/>
      <family val="3"/>
      <color indexed="8"/>
      <sz val="12"/>
    </font>
    <font>
      <name val="돋움"/>
      <charset val="129"/>
      <family val="3"/>
      <color theme="1"/>
      <sz val="12"/>
    </font>
    <font>
      <name val="돋움"/>
      <charset val="129"/>
      <family val="3"/>
      <color rgb="FF0070C0"/>
      <sz val="12"/>
    </font>
    <font>
      <name val="돋움"/>
      <charset val="129"/>
      <family val="3"/>
      <b val="1"/>
      <color indexed="8"/>
      <sz val="11.5"/>
    </font>
    <font>
      <name val="돋움"/>
      <charset val="129"/>
      <family val="3"/>
      <b val="1"/>
      <color rgb="FFFF0000"/>
      <sz val="11.5"/>
    </font>
    <font>
      <name val="돋움"/>
      <charset val="129"/>
      <family val="3"/>
      <b val="1"/>
      <color indexed="81"/>
      <sz val="11"/>
    </font>
    <font>
      <name val="Tahoma"/>
      <family val="2"/>
      <b val="1"/>
      <color indexed="81"/>
      <sz val="11"/>
    </font>
    <font>
      <name val="돋움"/>
      <charset val="129"/>
      <family val="3"/>
      <b val="1"/>
      <color indexed="81"/>
      <sz val="12"/>
    </font>
    <font>
      <name val="돋움"/>
      <charset val="129"/>
      <family val="3"/>
      <sz val="14"/>
    </font>
    <font>
      <name val="돋움"/>
      <charset val="129"/>
      <family val="3"/>
      <b val="1"/>
      <color rgb="FFFF0000"/>
      <sz val="14"/>
      <u val="single"/>
    </font>
    <font>
      <name val="돋움"/>
      <charset val="129"/>
      <family val="3"/>
      <color rgb="FFFF0000"/>
      <sz val="16"/>
    </font>
  </fonts>
  <fills count="1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5999633777886288"/>
        <bgColor indexed="64"/>
      </patternFill>
    </fill>
    <fill>
      <patternFill patternType="solid">
        <fgColor theme="9" tint="0.399945066682943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0" borderId="1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2" fillId="13" borderId="0" applyAlignment="1" pivotButton="0" quotePrefix="0" xfId="0">
      <alignment horizontal="center" vertical="center"/>
    </xf>
    <xf numFmtId="0" fontId="16" fillId="12" borderId="23" applyAlignment="1" pivotButton="0" quotePrefix="0" xfId="0">
      <alignment horizontal="center" vertical="center"/>
    </xf>
    <xf numFmtId="0" fontId="3" fillId="0" borderId="1" applyAlignment="1" applyProtection="1" pivotButton="0" quotePrefix="0" xfId="0">
      <alignment vertical="center" wrapText="1"/>
      <protection locked="0" hidden="0"/>
    </xf>
    <xf numFmtId="0" fontId="15" fillId="0" borderId="1" applyAlignment="1" applyProtection="1" pivotButton="0" quotePrefix="0" xfId="0">
      <alignment horizontal="center" vertical="center" wrapText="1"/>
      <protection locked="0" hidden="0"/>
    </xf>
    <xf numFmtId="0" fontId="17" fillId="0" borderId="12" applyAlignment="1" applyProtection="1" pivotButton="0" quotePrefix="0" xfId="0">
      <alignment horizontal="center" vertical="center"/>
      <protection locked="0" hidden="0"/>
    </xf>
    <xf numFmtId="0" fontId="17" fillId="0" borderId="13" applyAlignment="1" pivotButton="0" quotePrefix="0" xfId="0">
      <alignment horizontal="center" vertical="center"/>
    </xf>
    <xf numFmtId="0" fontId="16" fillId="2" borderId="10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6" fillId="2" borderId="9" applyAlignment="1" pivotButton="0" quotePrefix="0" xfId="0">
      <alignment horizontal="center" vertical="center"/>
    </xf>
    <xf numFmtId="0" fontId="16" fillId="0" borderId="11" applyAlignment="1" applyProtection="1" pivotButton="0" quotePrefix="0" xfId="0">
      <alignment horizontal="center" vertical="center"/>
      <protection locked="0" hidden="0"/>
    </xf>
    <xf numFmtId="0" fontId="16" fillId="0" borderId="12" applyAlignment="1" applyProtection="1" pivotButton="0" quotePrefix="0" xfId="0">
      <alignment horizontal="center" vertical="center"/>
      <protection locked="0" hidden="0"/>
    </xf>
    <xf numFmtId="0" fontId="16" fillId="0" borderId="13" applyAlignment="1" applyProtection="1" pivotButton="0" quotePrefix="0" xfId="0">
      <alignment horizontal="center" vertical="center"/>
      <protection locked="0" hidden="0"/>
    </xf>
    <xf numFmtId="164" fontId="5" fillId="0" borderId="12" applyAlignment="1" applyProtection="1" pivotButton="0" quotePrefix="0" xfId="0">
      <alignment horizontal="center" vertical="center" wrapText="1"/>
      <protection locked="0" hidden="0"/>
    </xf>
    <xf numFmtId="164" fontId="5" fillId="0" borderId="13" applyAlignment="1" applyProtection="1" pivotButton="0" quotePrefix="0" xfId="0">
      <alignment horizontal="center" vertical="center" shrinkToFit="1"/>
      <protection locked="0" hidden="0"/>
    </xf>
    <xf numFmtId="0" fontId="17" fillId="11" borderId="15" applyAlignment="1" pivotButton="0" quotePrefix="0" xfId="0">
      <alignment horizontal="center" vertical="center"/>
    </xf>
    <xf numFmtId="0" fontId="17" fillId="11" borderId="12" applyAlignment="1" pivotButton="0" quotePrefix="0" xfId="0">
      <alignment horizontal="center" vertical="center"/>
    </xf>
    <xf numFmtId="0" fontId="17" fillId="0" borderId="7" applyAlignment="1" applyProtection="1" pivotButton="0" quotePrefix="0" xfId="0">
      <alignment horizontal="center" vertical="center"/>
      <protection locked="0" hidden="0"/>
    </xf>
    <xf numFmtId="0" fontId="17" fillId="0" borderId="28" applyAlignment="1" applyProtection="1" pivotButton="0" quotePrefix="0" xfId="0">
      <alignment horizontal="center" vertical="center"/>
      <protection locked="0" hidden="0"/>
    </xf>
    <xf numFmtId="0" fontId="17" fillId="11" borderId="13" applyAlignment="1" pivotButton="0" quotePrefix="0" xfId="0">
      <alignment horizontal="center" vertical="center"/>
    </xf>
    <xf numFmtId="164" fontId="17" fillId="0" borderId="11" applyAlignment="1" applyProtection="1" pivotButton="0" quotePrefix="0" xfId="0">
      <alignment horizontal="center" vertical="center" wrapText="1"/>
      <protection locked="0" hidden="0"/>
    </xf>
    <xf numFmtId="164" fontId="17" fillId="0" borderId="12" applyAlignment="1" applyProtection="1" pivotButton="0" quotePrefix="0" xfId="0">
      <alignment horizontal="center" vertical="center" wrapText="1"/>
      <protection locked="0" hidden="0"/>
    </xf>
    <xf numFmtId="0" fontId="16" fillId="2" borderId="4" applyAlignment="1" pivotButton="0" quotePrefix="0" xfId="0">
      <alignment horizontal="center" vertical="center"/>
    </xf>
    <xf numFmtId="0" fontId="16" fillId="0" borderId="7" applyAlignment="1" applyProtection="1" pivotButton="0" quotePrefix="0" xfId="0">
      <alignment horizontal="center" vertical="center"/>
      <protection locked="0" hidden="0"/>
    </xf>
    <xf numFmtId="0" fontId="3" fillId="2" borderId="3" applyAlignment="1" pivotButton="0" quotePrefix="0" xfId="0">
      <alignment vertical="center" wrapText="1"/>
    </xf>
    <xf numFmtId="0" fontId="3" fillId="2" borderId="3" applyAlignment="1" pivotButton="0" quotePrefix="0" xfId="0">
      <alignment horizontal="center" vertical="center" wrapText="1"/>
    </xf>
    <xf numFmtId="0" fontId="5" fillId="2" borderId="31" applyAlignment="1" pivotButton="0" quotePrefix="0" xfId="0">
      <alignment horizontal="center" vertical="center" wrapText="1"/>
    </xf>
    <xf numFmtId="0" fontId="17" fillId="0" borderId="13" applyAlignment="1" applyProtection="1" pivotButton="0" quotePrefix="0" xfId="0">
      <alignment horizontal="center" vertical="center"/>
      <protection locked="0" hidden="0"/>
    </xf>
    <xf numFmtId="0" fontId="17" fillId="0" borderId="31" applyAlignment="1" applyProtection="1" pivotButton="0" quotePrefix="0" xfId="0">
      <alignment horizontal="center" vertical="center"/>
      <protection locked="0" hidden="0"/>
    </xf>
    <xf numFmtId="0" fontId="15" fillId="0" borderId="1" applyAlignment="1" pivotButton="0" quotePrefix="0" xfId="0">
      <alignment horizontal="center" vertical="center" wrapText="1"/>
    </xf>
    <xf numFmtId="164" fontId="17" fillId="0" borderId="11" applyAlignment="1" pivotButton="0" quotePrefix="0" xfId="0">
      <alignment horizontal="center" vertical="center" wrapText="1"/>
    </xf>
    <xf numFmtId="164" fontId="5" fillId="0" borderId="12" applyAlignment="1" pivotButton="0" quotePrefix="0" xfId="0">
      <alignment horizontal="center" vertical="center" wrapText="1"/>
    </xf>
    <xf numFmtId="164" fontId="17" fillId="0" borderId="12" applyAlignment="1" pivotButton="0" quotePrefix="0" xfId="0">
      <alignment horizontal="center" vertical="center" wrapText="1"/>
    </xf>
    <xf numFmtId="164" fontId="5" fillId="0" borderId="13" applyAlignment="1" pivotButton="0" quotePrefix="0" xfId="0">
      <alignment horizontal="center" vertical="center" shrinkToFit="1"/>
    </xf>
    <xf numFmtId="0" fontId="17" fillId="0" borderId="31" applyAlignment="1" pivotButton="0" quotePrefix="0" xfId="0">
      <alignment horizontal="center" vertical="center"/>
    </xf>
    <xf numFmtId="0" fontId="17" fillId="0" borderId="12" applyAlignment="1" pivotButton="0" quotePrefix="0" xfId="0">
      <alignment horizontal="center" vertical="center"/>
    </xf>
    <xf numFmtId="0" fontId="17" fillId="0" borderId="7" applyAlignment="1" pivotButton="0" quotePrefix="0" xfId="0">
      <alignment horizontal="center" vertical="center"/>
    </xf>
    <xf numFmtId="0" fontId="17" fillId="0" borderId="28" applyAlignment="1" pivotButton="0" quotePrefix="0" xfId="0">
      <alignment horizontal="center" vertical="center"/>
    </xf>
    <xf numFmtId="0" fontId="16" fillId="0" borderId="11" applyAlignment="1" pivotButton="0" quotePrefix="0" xfId="0">
      <alignment horizontal="center" vertical="center"/>
    </xf>
    <xf numFmtId="0" fontId="16" fillId="0" borderId="12" applyAlignment="1" pivotButton="0" quotePrefix="0" xfId="0">
      <alignment horizontal="center" vertical="center"/>
    </xf>
    <xf numFmtId="0" fontId="16" fillId="0" borderId="7" applyAlignment="1" pivotButton="0" quotePrefix="0" xfId="0">
      <alignment horizontal="center" vertical="center"/>
    </xf>
    <xf numFmtId="0" fontId="16" fillId="0" borderId="13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 wrapText="1"/>
    </xf>
    <xf numFmtId="164" fontId="17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shrinkToFit="1"/>
    </xf>
    <xf numFmtId="0" fontId="17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 wrapText="1"/>
    </xf>
    <xf numFmtId="0" fontId="3" fillId="8" borderId="8" applyAlignment="1" pivotButton="0" quotePrefix="0" xfId="0">
      <alignment vertical="center" wrapText="1"/>
    </xf>
    <xf numFmtId="0" fontId="3" fillId="0" borderId="5" applyAlignment="1" applyProtection="1" pivotButton="0" quotePrefix="0" xfId="0">
      <alignment horizontal="center" vertical="center" wrapText="1"/>
      <protection locked="0" hidden="0"/>
    </xf>
    <xf numFmtId="166" fontId="3" fillId="0" borderId="5" applyAlignment="1" pivotButton="0" quotePrefix="0" xfId="0">
      <alignment horizontal="center" vertical="center" wrapText="1"/>
    </xf>
    <xf numFmtId="166" fontId="17" fillId="0" borderId="28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/>
    </xf>
    <xf numFmtId="166" fontId="16" fillId="0" borderId="11" applyAlignment="1" pivotButton="0" quotePrefix="0" xfId="0">
      <alignment horizontal="center" vertical="center"/>
    </xf>
    <xf numFmtId="166" fontId="16" fillId="0" borderId="12" applyAlignment="1" pivotButton="0" quotePrefix="0" xfId="0">
      <alignment horizontal="center" vertical="center"/>
    </xf>
    <xf numFmtId="166" fontId="16" fillId="0" borderId="7" applyAlignment="1" pivotButton="0" quotePrefix="0" xfId="0">
      <alignment horizontal="center" vertical="center"/>
    </xf>
    <xf numFmtId="166" fontId="16" fillId="0" borderId="13" applyAlignment="1" pivotButton="0" quotePrefix="0" xfId="0">
      <alignment horizontal="center" vertical="center"/>
    </xf>
    <xf numFmtId="166" fontId="17" fillId="0" borderId="11" applyAlignment="1" pivotButton="0" quotePrefix="0" xfId="0">
      <alignment horizontal="center" vertical="center" wrapText="1"/>
    </xf>
    <xf numFmtId="166" fontId="5" fillId="0" borderId="12" applyAlignment="1" pivotButton="0" quotePrefix="0" xfId="0">
      <alignment horizontal="center" vertical="center" wrapText="1"/>
    </xf>
    <xf numFmtId="166" fontId="17" fillId="0" borderId="12" applyAlignment="1" pivotButton="0" quotePrefix="0" xfId="0">
      <alignment horizontal="center" vertical="center" wrapText="1"/>
    </xf>
    <xf numFmtId="166" fontId="5" fillId="0" borderId="13" applyAlignment="1" pivotButton="0" quotePrefix="0" xfId="0">
      <alignment horizontal="center" vertical="center" shrinkToFit="1"/>
    </xf>
    <xf numFmtId="166" fontId="17" fillId="0" borderId="11" applyAlignment="1" pivotButton="0" quotePrefix="0" xfId="0">
      <alignment horizontal="center" vertical="center"/>
    </xf>
    <xf numFmtId="166" fontId="17" fillId="0" borderId="12" applyAlignment="1" pivotButton="0" quotePrefix="0" xfId="0">
      <alignment horizontal="center" vertical="center"/>
    </xf>
    <xf numFmtId="166" fontId="17" fillId="11" borderId="12" applyAlignment="1" pivotButton="0" quotePrefix="0" xfId="0">
      <alignment horizontal="center" vertical="center"/>
    </xf>
    <xf numFmtId="166" fontId="17" fillId="0" borderId="13" applyAlignment="1" pivotButton="0" quotePrefix="0" xfId="0">
      <alignment horizontal="center" vertical="center"/>
    </xf>
    <xf numFmtId="166" fontId="5" fillId="2" borderId="31" applyAlignment="1" pivotButton="0" quotePrefix="0" xfId="0">
      <alignment horizontal="center" vertical="center" wrapText="1"/>
    </xf>
    <xf numFmtId="166" fontId="15" fillId="0" borderId="12" applyAlignment="1" pivotButton="0" quotePrefix="0" xfId="0">
      <alignment horizontal="center" vertical="center" wrapText="1"/>
    </xf>
    <xf numFmtId="166" fontId="17" fillId="11" borderId="13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/>
    </xf>
    <xf numFmtId="166" fontId="2" fillId="0" borderId="0" pivotButton="0" quotePrefix="0" xfId="0"/>
    <xf numFmtId="166" fontId="2" fillId="0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 vertical="top" wrapText="1"/>
    </xf>
    <xf numFmtId="0" fontId="2" fillId="0" borderId="32" applyAlignment="1" pivotButton="0" quotePrefix="0" xfId="0">
      <alignment horizontal="center" vertical="center"/>
    </xf>
    <xf numFmtId="0" fontId="25" fillId="0" borderId="0" pivotButton="0" quotePrefix="0" xfId="0"/>
    <xf numFmtId="167" fontId="2" fillId="0" borderId="1" applyAlignment="1" pivotButton="0" quotePrefix="0" xfId="0">
      <alignment horizontal="center"/>
    </xf>
    <xf numFmtId="167" fontId="17" fillId="11" borderId="15" applyAlignment="1" pivotButton="0" quotePrefix="0" xfId="0">
      <alignment horizontal="center" vertical="center"/>
    </xf>
    <xf numFmtId="0" fontId="3" fillId="8" borderId="8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left" vertical="center"/>
    </xf>
    <xf numFmtId="0" fontId="8" fillId="2" borderId="1" applyAlignment="1" pivotButton="0" quotePrefix="0" xfId="0">
      <alignment vertical="center"/>
    </xf>
    <xf numFmtId="0" fontId="9" fillId="6" borderId="34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2" fillId="3" borderId="14" applyAlignment="1" pivotButton="0" quotePrefix="0" xfId="0">
      <alignment horizontal="center" vertical="center" wrapText="1"/>
    </xf>
    <xf numFmtId="0" fontId="12" fillId="3" borderId="29" applyAlignment="1" pivotButton="0" quotePrefix="0" xfId="0">
      <alignment horizontal="center" vertical="center" wrapText="1"/>
    </xf>
    <xf numFmtId="0" fontId="15" fillId="4" borderId="16" applyAlignment="1" pivotButton="0" quotePrefix="0" xfId="0">
      <alignment horizontal="center" vertical="center"/>
    </xf>
    <xf numFmtId="0" fontId="15" fillId="4" borderId="17" applyAlignment="1" pivotButton="0" quotePrefix="0" xfId="0">
      <alignment horizontal="center" vertical="center"/>
    </xf>
    <xf numFmtId="0" fontId="15" fillId="4" borderId="18" applyAlignment="1" pivotButton="0" quotePrefix="0" xfId="0">
      <alignment horizontal="center" vertical="center"/>
    </xf>
    <xf numFmtId="0" fontId="15" fillId="4" borderId="19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5" fillId="4" borderId="20" applyAlignment="1" pivotButton="0" quotePrefix="0" xfId="0">
      <alignment horizontal="center" vertical="center"/>
    </xf>
    <xf numFmtId="0" fontId="15" fillId="4" borderId="21" applyAlignment="1" pivotButton="0" quotePrefix="0" xfId="0">
      <alignment horizontal="center" vertical="center"/>
    </xf>
    <xf numFmtId="0" fontId="15" fillId="4" borderId="2" applyAlignment="1" pivotButton="0" quotePrefix="0" xfId="0">
      <alignment horizontal="center" vertical="center"/>
    </xf>
    <xf numFmtId="0" fontId="15" fillId="4" borderId="22" applyAlignment="1" pivotButton="0" quotePrefix="0" xfId="0">
      <alignment horizontal="center" vertical="center"/>
    </xf>
    <xf numFmtId="168" fontId="14" fillId="9" borderId="10" applyAlignment="1" pivotButton="0" quotePrefix="0" xfId="0">
      <alignment horizontal="center" vertical="center" wrapText="1"/>
    </xf>
    <xf numFmtId="168" fontId="14" fillId="9" borderId="1" applyAlignment="1" pivotButton="0" quotePrefix="0" xfId="0">
      <alignment horizontal="center" vertical="center" wrapText="1"/>
    </xf>
    <xf numFmtId="168" fontId="14" fillId="10" borderId="1" applyAlignment="1" pivotButton="0" quotePrefix="0" xfId="0">
      <alignment horizontal="center" vertical="center" wrapText="1"/>
    </xf>
    <xf numFmtId="168" fontId="14" fillId="10" borderId="9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 vertical="center" wrapText="1"/>
    </xf>
    <xf numFmtId="0" fontId="11" fillId="2" borderId="8" applyAlignment="1" pivotButton="0" quotePrefix="0" xfId="0">
      <alignment horizontal="center" vertical="center" wrapText="1"/>
    </xf>
    <xf numFmtId="0" fontId="11" fillId="2" borderId="10" applyAlignment="1" pivotButton="0" quotePrefix="0" xfId="0">
      <alignment horizontal="center" vertical="center" wrapText="1"/>
    </xf>
    <xf numFmtId="0" fontId="15" fillId="2" borderId="5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center" vertical="center" wrapText="1"/>
    </xf>
    <xf numFmtId="0" fontId="3" fillId="3" borderId="0" applyAlignment="1" applyProtection="1" pivotButton="0" quotePrefix="0" xfId="0">
      <alignment horizontal="center" vertical="center" wrapText="1"/>
      <protection locked="0" hidden="0"/>
    </xf>
    <xf numFmtId="168" fontId="14" fillId="7" borderId="8" applyAlignment="1" pivotButton="0" quotePrefix="0" xfId="0">
      <alignment horizontal="center" vertical="center" wrapText="1"/>
    </xf>
    <xf numFmtId="168" fontId="14" fillId="7" borderId="5" applyAlignment="1" pivotButton="0" quotePrefix="0" xfId="0">
      <alignment horizontal="center" vertical="center" wrapText="1"/>
    </xf>
    <xf numFmtId="168" fontId="14" fillId="7" borderId="6" applyAlignment="1" pivotButton="0" quotePrefix="0" xfId="0">
      <alignment horizontal="center" vertical="center" wrapText="1"/>
    </xf>
    <xf numFmtId="0" fontId="23" fillId="5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1" fillId="2" borderId="5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11" fillId="2" borderId="6" applyAlignment="1" pivotButton="0" quotePrefix="0" xfId="0">
      <alignment horizontal="center" vertical="center" wrapText="1"/>
    </xf>
    <xf numFmtId="0" fontId="11" fillId="2" borderId="9" applyAlignment="1" pivotButton="0" quotePrefix="0" xfId="0">
      <alignment horizontal="center" vertical="center" wrapText="1"/>
    </xf>
    <xf numFmtId="0" fontId="2" fillId="3" borderId="23" applyAlignment="1" pivotButton="0" quotePrefix="0" xfId="0">
      <alignment horizontal="center" vertical="center" wrapText="1"/>
    </xf>
    <xf numFmtId="0" fontId="2" fillId="3" borderId="24" applyAlignment="1" pivotButton="0" quotePrefix="0" xfId="0">
      <alignment horizontal="center" vertical="center" wrapText="1"/>
    </xf>
    <xf numFmtId="0" fontId="2" fillId="3" borderId="25" applyAlignment="1" pivotButton="0" quotePrefix="0" xfId="0">
      <alignment horizontal="center" vertical="center" wrapText="1"/>
    </xf>
    <xf numFmtId="0" fontId="15" fillId="8" borderId="30" applyAlignment="1" pivotButton="0" quotePrefix="0" xfId="0">
      <alignment horizontal="center" vertical="center" wrapText="1"/>
    </xf>
    <xf numFmtId="0" fontId="15" fillId="8" borderId="26" applyAlignment="1" pivotButton="0" quotePrefix="0" xfId="0">
      <alignment horizontal="center" vertical="center" wrapText="1"/>
    </xf>
    <xf numFmtId="0" fontId="15" fillId="8" borderId="27" applyAlignment="1" pivotButton="0" quotePrefix="0" xfId="0">
      <alignment horizontal="center" vertical="center" wrapText="1"/>
    </xf>
    <xf numFmtId="0" fontId="11" fillId="5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/>
    </xf>
    <xf numFmtId="0" fontId="13" fillId="0" borderId="4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8" fillId="2" borderId="4" applyAlignment="1" pivotButton="0" quotePrefix="0" xfId="0">
      <alignment horizontal="left" vertical="center"/>
    </xf>
    <xf numFmtId="0" fontId="8" fillId="2" borderId="35" applyAlignment="1" pivotButton="0" quotePrefix="0" xfId="0">
      <alignment horizontal="left" vertical="center"/>
    </xf>
    <xf numFmtId="0" fontId="8" fillId="2" borderId="3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32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33" applyAlignment="1" pivotButton="0" quotePrefix="0" xfId="0">
      <alignment horizontal="center" vertical="center"/>
    </xf>
    <xf numFmtId="0" fontId="7" fillId="2" borderId="10" applyAlignment="1" pivotButton="0" quotePrefix="0" xfId="0">
      <alignment horizontal="center" vertical="center" wrapText="1"/>
    </xf>
    <xf numFmtId="0" fontId="0" fillId="0" borderId="0" applyProtection="1" pivotButton="0" quotePrefix="0" xfId="0">
      <protection locked="0" hidden="0"/>
    </xf>
    <xf numFmtId="168" fontId="14" fillId="7" borderId="8" applyAlignment="1" pivotButton="0" quotePrefix="0" xfId="0">
      <alignment horizontal="center" vertical="center" wrapText="1"/>
    </xf>
    <xf numFmtId="0" fontId="0" fillId="0" borderId="41" pivotButton="0" quotePrefix="0" xfId="0"/>
    <xf numFmtId="0" fontId="0" fillId="0" borderId="42" pivotButton="0" quotePrefix="0" xfId="0"/>
    <xf numFmtId="0" fontId="0" fillId="0" borderId="17" pivotButton="0" quotePrefix="0" xfId="0"/>
    <xf numFmtId="0" fontId="0" fillId="0" borderId="30" pivotButton="0" quotePrefix="0" xfId="0"/>
    <xf numFmtId="0" fontId="15" fillId="4" borderId="14" applyAlignment="1" pivotButton="0" quotePrefix="0" xfId="0">
      <alignment horizontal="center" vertical="center"/>
    </xf>
    <xf numFmtId="0" fontId="0" fillId="0" borderId="18" pivotButton="0" quotePrefix="0" xfId="0"/>
    <xf numFmtId="168" fontId="14" fillId="9" borderId="10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" pivotButton="0" quotePrefix="0" xfId="0"/>
    <xf numFmtId="168" fontId="14" fillId="10" borderId="1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19" pivotButton="0" quotePrefix="0" xfId="0"/>
    <xf numFmtId="0" fontId="0" fillId="0" borderId="20" pivotButton="0" quotePrefix="0" xfId="0"/>
    <xf numFmtId="0" fontId="2" fillId="3" borderId="14" applyAlignment="1" pivotButton="0" quotePrefix="0" xfId="0">
      <alignment horizontal="center" vertical="center" wrapText="1"/>
    </xf>
    <xf numFmtId="0" fontId="0" fillId="0" borderId="43" pivotButton="0" quotePrefix="0" xfId="0"/>
    <xf numFmtId="0" fontId="0" fillId="0" borderId="21" pivotButton="0" quotePrefix="0" xfId="0"/>
    <xf numFmtId="0" fontId="0" fillId="0" borderId="2" pivotButton="0" quotePrefix="0" xfId="0"/>
    <xf numFmtId="0" fontId="0" fillId="0" borderId="22" pivotButton="0" quotePrefix="0" xfId="0"/>
    <xf numFmtId="0" fontId="0" fillId="0" borderId="37" pivotButton="0" quotePrefix="0" xfId="0"/>
    <xf numFmtId="0" fontId="0" fillId="0" borderId="33" pivotButton="0" quotePrefix="0" xfId="0"/>
    <xf numFmtId="0" fontId="0" fillId="0" borderId="44" pivotButton="0" quotePrefix="0" xfId="0"/>
    <xf numFmtId="0" fontId="0" fillId="0" borderId="40" pivotButton="0" quotePrefix="0" xfId="0"/>
    <xf numFmtId="0" fontId="0" fillId="0" borderId="25" pivotButton="0" quotePrefix="0" xfId="0"/>
    <xf numFmtId="164" fontId="17" fillId="0" borderId="11" applyAlignment="1" applyProtection="1" pivotButton="0" quotePrefix="0" xfId="0">
      <alignment horizontal="center" vertical="center" wrapText="1"/>
      <protection locked="0" hidden="0"/>
    </xf>
    <xf numFmtId="164" fontId="5" fillId="0" borderId="12" applyAlignment="1" applyProtection="1" pivotButton="0" quotePrefix="0" xfId="0">
      <alignment horizontal="center" vertical="center" wrapText="1"/>
      <protection locked="0" hidden="0"/>
    </xf>
    <xf numFmtId="164" fontId="17" fillId="0" borderId="12" applyAlignment="1" applyProtection="1" pivotButton="0" quotePrefix="0" xfId="0">
      <alignment horizontal="center" vertical="center" wrapText="1"/>
      <protection locked="0" hidden="0"/>
    </xf>
    <xf numFmtId="164" fontId="5" fillId="0" borderId="13" applyAlignment="1" applyProtection="1" pivotButton="0" quotePrefix="0" xfId="0">
      <alignment horizontal="center" vertical="center" shrinkToFit="1"/>
      <protection locked="0" hidden="0"/>
    </xf>
    <xf numFmtId="164" fontId="17" fillId="0" borderId="11" applyAlignment="1" pivotButton="0" quotePrefix="0" xfId="0">
      <alignment horizontal="center" vertical="center" wrapText="1"/>
    </xf>
    <xf numFmtId="164" fontId="5" fillId="0" borderId="12" applyAlignment="1" pivotButton="0" quotePrefix="0" xfId="0">
      <alignment horizontal="center" vertical="center" wrapText="1"/>
    </xf>
    <xf numFmtId="164" fontId="17" fillId="0" borderId="12" applyAlignment="1" pivotButton="0" quotePrefix="0" xfId="0">
      <alignment horizontal="center" vertical="center" wrapText="1"/>
    </xf>
    <xf numFmtId="164" fontId="5" fillId="0" borderId="13" applyAlignment="1" pivotButton="0" quotePrefix="0" xfId="0">
      <alignment horizontal="center" vertical="center" shrinkToFit="1"/>
    </xf>
    <xf numFmtId="166" fontId="3" fillId="0" borderId="5" applyAlignment="1" pivotButton="0" quotePrefix="0" xfId="0">
      <alignment horizontal="center" vertical="center" wrapText="1"/>
    </xf>
    <xf numFmtId="165" fontId="15" fillId="0" borderId="1" applyAlignment="1" pivotButton="0" quotePrefix="0" xfId="0">
      <alignment horizontal="center" vertical="center" wrapText="1"/>
    </xf>
    <xf numFmtId="166" fontId="17" fillId="0" borderId="11" applyAlignment="1" pivotButton="0" quotePrefix="0" xfId="0">
      <alignment horizontal="center" vertical="center" wrapText="1"/>
    </xf>
    <xf numFmtId="166" fontId="5" fillId="0" borderId="12" applyAlignment="1" pivotButton="0" quotePrefix="0" xfId="0">
      <alignment horizontal="center" vertical="center" wrapText="1"/>
    </xf>
    <xf numFmtId="166" fontId="17" fillId="0" borderId="12" applyAlignment="1" pivotButton="0" quotePrefix="0" xfId="0">
      <alignment horizontal="center" vertical="center" wrapText="1"/>
    </xf>
    <xf numFmtId="166" fontId="5" fillId="0" borderId="13" applyAlignment="1" pivotButton="0" quotePrefix="0" xfId="0">
      <alignment horizontal="center" vertical="center" shrinkToFit="1"/>
    </xf>
    <xf numFmtId="166" fontId="17" fillId="0" borderId="11" applyAlignment="1" pivotButton="0" quotePrefix="0" xfId="0">
      <alignment horizontal="center" vertical="center"/>
    </xf>
    <xf numFmtId="166" fontId="17" fillId="0" borderId="12" applyAlignment="1" pivotButton="0" quotePrefix="0" xfId="0">
      <alignment horizontal="center" vertical="center"/>
    </xf>
    <xf numFmtId="166" fontId="17" fillId="11" borderId="12" applyAlignment="1" pivotButton="0" quotePrefix="0" xfId="0">
      <alignment horizontal="center" vertical="center"/>
    </xf>
    <xf numFmtId="166" fontId="17" fillId="0" borderId="13" applyAlignment="1" pivotButton="0" quotePrefix="0" xfId="0">
      <alignment horizontal="center" vertical="center"/>
    </xf>
    <xf numFmtId="166" fontId="5" fillId="2" borderId="31" applyAlignment="1" pivotButton="0" quotePrefix="0" xfId="0">
      <alignment horizontal="center" vertical="center" wrapText="1"/>
    </xf>
    <xf numFmtId="166" fontId="15" fillId="0" borderId="12" applyAlignment="1" pivotButton="0" quotePrefix="0" xfId="0">
      <alignment horizontal="center" vertical="center" wrapText="1"/>
    </xf>
    <xf numFmtId="166" fontId="17" fillId="11" borderId="13" applyAlignment="1" pivotButton="0" quotePrefix="0" xfId="0">
      <alignment horizontal="center" vertical="center"/>
    </xf>
    <xf numFmtId="166" fontId="17" fillId="0" borderId="28" applyAlignment="1" pivotButton="0" quotePrefix="0" xfId="0">
      <alignment horizontal="center" vertical="center"/>
    </xf>
    <xf numFmtId="166" fontId="16" fillId="0" borderId="11" applyAlignment="1" pivotButton="0" quotePrefix="0" xfId="0">
      <alignment horizontal="center" vertical="center"/>
    </xf>
    <xf numFmtId="166" fontId="16" fillId="0" borderId="12" applyAlignment="1" pivotButton="0" quotePrefix="0" xfId="0">
      <alignment horizontal="center" vertical="center"/>
    </xf>
    <xf numFmtId="166" fontId="16" fillId="0" borderId="7" applyAlignment="1" pivotButton="0" quotePrefix="0" xfId="0">
      <alignment horizontal="center" vertical="center"/>
    </xf>
    <xf numFmtId="166" fontId="16" fillId="0" borderId="13" applyAlignment="1" pivotButton="0" quotePrefix="0" xfId="0">
      <alignment horizontal="center" vertical="center"/>
    </xf>
    <xf numFmtId="167" fontId="17" fillId="11" borderId="15" applyAlignment="1" pivotButton="0" quotePrefix="0" xfId="0">
      <alignment horizontal="center" vertical="center"/>
    </xf>
    <xf numFmtId="164" fontId="17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shrinkToFit="1"/>
    </xf>
    <xf numFmtId="166" fontId="2" fillId="0" borderId="0" pivotButton="0" quotePrefix="0" xfId="0"/>
    <xf numFmtId="166" fontId="2" fillId="0" borderId="1" applyAlignment="1" pivotButton="0" quotePrefix="0" xfId="0">
      <alignment horizontal="center"/>
    </xf>
    <xf numFmtId="166" fontId="4" fillId="0" borderId="1" applyAlignment="1" pivotButton="0" quotePrefix="0" xfId="0">
      <alignment horizontal="center"/>
    </xf>
    <xf numFmtId="167" fontId="2" fillId="0" borderId="1" applyAlignment="1" pivotButton="0" quotePrefix="0" xfId="0">
      <alignment horizontal="center"/>
    </xf>
    <xf numFmtId="166" fontId="2" fillId="0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 vertical="top" wrapText="1"/>
    </xf>
  </cellXfs>
  <cellStyles count="1">
    <cellStyle name="표준" xfId="0" builtinId="0"/>
  </cellStyles>
  <dxfs count="5"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rgb="FFFF0000"/>
      </font>
      <fill>
        <patternFill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CSS</author>
  </authors>
  <commentList>
    <comment ref="P3" authorId="0" shapeId="0">
      <text>
        <t>[유형선택] 시는 [서논술형]이나 [그 외 유형]을 선택하세요.
- 유형이 없는 셀은 Delete키로 지워 주세요.</t>
      </text>
    </comment>
    <comment ref="P4" authorId="0" shapeId="0">
      <text>
        <t>[영역명] 입력 시 그냥 연속적으로 입력만 하시면 됩니다(Alt+엔터)를 눌러서 줄바꿈을 하지 마세요.</t>
      </text>
    </comment>
  </commentList>
</comments>
</file>

<file path=xl/comments/comment2.xml><?xml version="1.0" encoding="utf-8"?>
<comments xmlns="http://schemas.openxmlformats.org/spreadsheetml/2006/main">
  <authors>
    <author>CSS</author>
  </authors>
  <commentList>
    <comment ref="P3" authorId="0" shapeId="0">
      <text>
        <t>[유형선택] 시는 [서논술형]이나 [그 외 유형]을 선택하세요.
- 유형이 없는 셀은 Delete키로 지워 주세요.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76200</colOff>
      <row>19</row>
      <rowOff>114300</rowOff>
    </from>
    <to>
      <col>25</col>
      <colOff>269190</colOff>
      <row>51</row>
      <rowOff>63336</rowOff>
    </to>
    <pic>
      <nvPicPr>
        <cNvPr id="8" name="그림 7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448550" y="5772150"/>
          <a:ext cx="6755715" cy="5435436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 codeName="Sheet1">
    <tabColor rgb="FFFF0000"/>
    <outlinePr summaryBelow="1" summaryRight="1"/>
    <pageSetUpPr fitToPage="1"/>
  </sheetPr>
  <dimension ref="A1:AG14"/>
  <sheetViews>
    <sheetView tabSelected="1" zoomScaleNormal="100" workbookViewId="0">
      <selection activeCell="R5" sqref="R5"/>
    </sheetView>
  </sheetViews>
  <sheetFormatPr baseColWidth="8" defaultColWidth="8.8984375" defaultRowHeight="13.2"/>
  <cols>
    <col width="5.59765625" customWidth="1" style="1" min="1" max="1"/>
    <col width="10.69921875" customWidth="1" style="3" min="2" max="2"/>
    <col width="5" customWidth="1" style="1" min="3" max="3"/>
    <col width="7.69921875" customWidth="1" style="1" min="4" max="4"/>
    <col width="20.69921875" customWidth="1" style="1" min="5" max="5"/>
    <col width="5.8984375" customWidth="1" style="1" min="6" max="8"/>
    <col width="5.296875" customWidth="1" style="1" min="9" max="9"/>
    <col width="6.3984375" bestFit="1" customWidth="1" style="1" min="10" max="10"/>
    <col width="5.8984375" customWidth="1" style="1" min="11" max="13"/>
    <col width="5.296875" bestFit="1" customWidth="1" style="1" min="14" max="14"/>
    <col width="6.3984375" bestFit="1" customWidth="1" style="1" min="15" max="15"/>
    <col width="8.296875" customWidth="1" style="1" min="16" max="16"/>
    <col width="7.3984375" customWidth="1" style="1" min="17" max="25"/>
    <col width="6.69921875" customWidth="1" style="1" min="26" max="26"/>
    <col width="8.8984375" customWidth="1" style="1" min="27" max="27"/>
    <col width="8.69921875" customWidth="1" style="1" min="28" max="32"/>
    <col width="8.8984375" customWidth="1" style="1" min="33" max="16384"/>
  </cols>
  <sheetData>
    <row r="1" ht="13.5" customHeight="1" thickBot="1">
      <c r="A1" s="120" t="inlineStr">
        <is>
          <t>공지</t>
        </is>
      </c>
      <c r="B1" s="121" t="inlineStr">
        <is>
          <t xml:space="preserve"> 모든 내용이 평가계획서와 일치해야 합니다.</t>
        </is>
      </c>
      <c r="F1" s="116" t="n"/>
      <c r="G1" s="145" t="n"/>
      <c r="H1" s="145" t="n"/>
      <c r="I1" s="145" t="n"/>
      <c r="J1" s="145" t="n"/>
      <c r="K1" s="145" t="n"/>
      <c r="L1" s="145" t="n"/>
      <c r="M1" s="145" t="n"/>
      <c r="N1" s="145" t="n"/>
      <c r="O1" s="145" t="n"/>
      <c r="P1" s="145" t="n"/>
      <c r="Q1" s="145" t="n"/>
      <c r="R1" s="145" t="n"/>
      <c r="S1" s="145" t="n"/>
      <c r="T1" s="145" t="n"/>
      <c r="U1" s="145" t="n"/>
      <c r="V1" s="145" t="n"/>
      <c r="W1" s="145" t="n"/>
      <c r="X1" s="145" t="n"/>
      <c r="Y1" s="145" t="n"/>
      <c r="Z1" s="145" t="n"/>
      <c r="AA1" s="145" t="n"/>
      <c r="AB1" s="145" t="n"/>
      <c r="AC1" s="145" t="n"/>
      <c r="AD1" s="145" t="n"/>
      <c r="AE1" s="145" t="n"/>
      <c r="AF1" s="145" t="n"/>
      <c r="AG1" s="145" t="n"/>
    </row>
    <row r="2" ht="20.25" customHeight="1" thickBot="1">
      <c r="F2" s="146" t="inlineStr">
        <is>
          <t>정기시험</t>
        </is>
      </c>
      <c r="G2" s="147" t="n"/>
      <c r="H2" s="147" t="n"/>
      <c r="I2" s="147" t="n"/>
      <c r="J2" s="147" t="n"/>
      <c r="K2" s="147" t="n"/>
      <c r="L2" s="147" t="n"/>
      <c r="M2" s="147" t="n"/>
      <c r="N2" s="147" t="n"/>
      <c r="O2" s="148" t="n"/>
      <c r="P2" s="129" t="inlineStr">
        <is>
          <t>수행평가</t>
        </is>
      </c>
      <c r="Q2" s="149" t="n"/>
      <c r="R2" s="149" t="n"/>
      <c r="S2" s="149" t="n"/>
      <c r="T2" s="149" t="n"/>
      <c r="U2" s="149" t="n"/>
      <c r="V2" s="149" t="n"/>
      <c r="W2" s="149" t="n"/>
      <c r="X2" s="149" t="n"/>
      <c r="Y2" s="149" t="n"/>
      <c r="Z2" s="150" t="n"/>
      <c r="AA2" s="92" t="inlineStr">
        <is>
          <t>성취평가
방식</t>
        </is>
      </c>
      <c r="AB2" s="151" t="inlineStr">
        <is>
          <t>수행평가 성취기준 점수</t>
        </is>
      </c>
      <c r="AC2" s="149" t="n"/>
      <c r="AD2" s="149" t="n"/>
      <c r="AE2" s="149" t="n"/>
      <c r="AF2" s="152" t="n"/>
      <c r="AG2" s="7" t="inlineStr">
        <is>
          <t>확인사항</t>
        </is>
      </c>
    </row>
    <row r="3" ht="29.25" customHeight="1" thickBot="1">
      <c r="A3" s="6" t="n"/>
      <c r="B3" s="2" t="n"/>
      <c r="F3" s="153" t="inlineStr">
        <is>
          <t>중간고사</t>
        </is>
      </c>
      <c r="G3" s="154" t="n"/>
      <c r="H3" s="154" t="n"/>
      <c r="I3" s="154" t="n"/>
      <c r="J3" s="155" t="n"/>
      <c r="K3" s="156" t="inlineStr">
        <is>
          <t>기말고사</t>
        </is>
      </c>
      <c r="L3" s="154" t="n"/>
      <c r="M3" s="154" t="n"/>
      <c r="N3" s="154" t="n"/>
      <c r="O3" s="155" t="n"/>
      <c r="P3" s="86" t="inlineStr">
        <is>
          <t>유형선택</t>
        </is>
      </c>
      <c r="Q3" s="59" t="n"/>
      <c r="R3" s="59" t="n"/>
      <c r="S3" s="59" t="n"/>
      <c r="T3" s="59" t="n"/>
      <c r="U3" s="59" t="n"/>
      <c r="V3" s="59" t="n"/>
      <c r="W3" s="59" t="n"/>
      <c r="X3" s="59" t="n"/>
      <c r="Y3" s="59" t="n"/>
      <c r="Z3" s="110" t="inlineStr">
        <is>
          <t>학기말
반영비율
합계
(%)</t>
        </is>
      </c>
      <c r="AA3" s="157" t="n"/>
      <c r="AB3" s="158" t="n"/>
      <c r="AF3" s="159" t="n"/>
      <c r="AG3" s="160" t="inlineStr">
        <is>
          <t>정기시험(서논술형) + 수행평가(서논술형) 학기말 반영 비율
(%)</t>
        </is>
      </c>
    </row>
    <row r="4" ht="56.25" customHeight="1">
      <c r="A4" s="111" t="inlineStr">
        <is>
          <t>학년</t>
        </is>
      </c>
      <c r="B4" s="113" t="inlineStr">
        <is>
          <t>과목명</t>
        </is>
      </c>
      <c r="C4" s="122" t="inlineStr">
        <is>
          <t>학점수</t>
        </is>
      </c>
      <c r="D4" s="122" t="inlineStr">
        <is>
          <t>작성자</t>
        </is>
      </c>
      <c r="E4" s="124" t="inlineStr">
        <is>
          <t>과목담당
전체교사명단</t>
        </is>
      </c>
      <c r="F4" s="115" t="inlineStr">
        <is>
          <t>선택형</t>
        </is>
      </c>
      <c r="G4" s="107" t="inlineStr">
        <is>
          <t>서논술형</t>
        </is>
      </c>
      <c r="H4" s="107" t="inlineStr">
        <is>
          <t>단답형
완성형</t>
        </is>
      </c>
      <c r="I4" s="108" t="inlineStr">
        <is>
          <t>합계
(점)</t>
        </is>
      </c>
      <c r="J4" s="108" t="inlineStr">
        <is>
          <t>학기말
반영비율
(%)</t>
        </is>
      </c>
      <c r="K4" s="107" t="inlineStr">
        <is>
          <t>선택형</t>
        </is>
      </c>
      <c r="L4" s="107" t="inlineStr">
        <is>
          <t>서논술형</t>
        </is>
      </c>
      <c r="M4" s="107" t="inlineStr">
        <is>
          <t>단답형
완성형</t>
        </is>
      </c>
      <c r="N4" s="108" t="inlineStr">
        <is>
          <t>합계
(점)</t>
        </is>
      </c>
      <c r="O4" s="109" t="inlineStr">
        <is>
          <t>학기말
반영비율
(%)</t>
        </is>
      </c>
      <c r="P4" s="30" t="inlineStr">
        <is>
          <t xml:space="preserve"> 영역명</t>
        </is>
      </c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161" t="n"/>
      <c r="AA4" s="157" t="n"/>
      <c r="AB4" s="162" t="n"/>
      <c r="AC4" s="163" t="n"/>
      <c r="AD4" s="163" t="n"/>
      <c r="AE4" s="163" t="n"/>
      <c r="AF4" s="164" t="n"/>
      <c r="AG4" s="157" t="n"/>
    </row>
    <row r="5" ht="29.25" customHeight="1">
      <c r="A5" s="165" t="n"/>
      <c r="B5" s="166" t="n"/>
      <c r="C5" s="166" t="n"/>
      <c r="D5" s="166" t="n"/>
      <c r="E5" s="167" t="n"/>
      <c r="F5" s="168" t="n"/>
      <c r="G5" s="166" t="n"/>
      <c r="H5" s="166" t="n"/>
      <c r="I5" s="166" t="n"/>
      <c r="J5" s="166" t="n"/>
      <c r="K5" s="166" t="n"/>
      <c r="L5" s="166" t="n"/>
      <c r="M5" s="166" t="n"/>
      <c r="N5" s="166" t="n"/>
      <c r="O5" s="167" t="n"/>
      <c r="P5" s="30" t="inlineStr">
        <is>
          <t>평가시기(월)</t>
        </is>
      </c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167" t="n"/>
      <c r="AA5" s="169" t="n"/>
      <c r="AB5" s="12" t="inlineStr">
        <is>
          <t>A/B</t>
        </is>
      </c>
      <c r="AC5" s="13" t="inlineStr">
        <is>
          <t>B/C</t>
        </is>
      </c>
      <c r="AD5" s="13" t="inlineStr">
        <is>
          <t>C/D</t>
        </is>
      </c>
      <c r="AE5" s="27" t="inlineStr">
        <is>
          <t>D/E</t>
        </is>
      </c>
      <c r="AF5" s="14" t="inlineStr">
        <is>
          <t>E/I</t>
        </is>
      </c>
      <c r="AG5" s="169" t="n"/>
    </row>
    <row r="6" ht="27" customFormat="1" customHeight="1" s="5" thickBot="1">
      <c r="A6" s="170" t="n"/>
      <c r="B6" s="171" t="n"/>
      <c r="C6" s="172" t="n"/>
      <c r="D6" s="172" t="n"/>
      <c r="E6" s="173" t="n"/>
      <c r="F6" s="33" t="n"/>
      <c r="G6" s="10" t="n"/>
      <c r="H6" s="10" t="n"/>
      <c r="I6" s="21">
        <f>SUM(F6:H6)</f>
        <v/>
      </c>
      <c r="J6" s="10" t="n"/>
      <c r="K6" s="10" t="n"/>
      <c r="L6" s="10" t="n"/>
      <c r="M6" s="10" t="n"/>
      <c r="N6" s="21">
        <f>SUM(K6:M6)</f>
        <v/>
      </c>
      <c r="O6" s="32" t="n"/>
      <c r="P6" s="31" t="inlineStr">
        <is>
          <t>반영비율
(%)</t>
        </is>
      </c>
      <c r="Q6" s="10" t="n"/>
      <c r="R6" s="10" t="n"/>
      <c r="S6" s="10" t="n"/>
      <c r="T6" s="10" t="n"/>
      <c r="U6" s="10" t="n"/>
      <c r="V6" s="10" t="n"/>
      <c r="W6" s="10" t="n"/>
      <c r="X6" s="10" t="n"/>
      <c r="Y6" s="22" t="n"/>
      <c r="Z6" s="24">
        <f>SUM(P6:Y6)</f>
        <v/>
      </c>
      <c r="AA6" s="23" t="n"/>
      <c r="AB6" s="15" t="n"/>
      <c r="AC6" s="16" t="n"/>
      <c r="AD6" s="16" t="n"/>
      <c r="AE6" s="28" t="n"/>
      <c r="AF6" s="17" t="n"/>
      <c r="AG6" s="20">
        <f>(J6*G6/100)+(O6*L6/100)+SUMPRODUCT((Q3:Y3="서논술형")*(Q6:Y6))</f>
        <v/>
      </c>
    </row>
    <row r="7" ht="28.5" customHeight="1">
      <c r="Q7" s="83" t="inlineStr">
        <is>
          <t>절대로 서식을 변경해서는 안됩니다~ 해당 셀에 입력만 해주세요~</t>
        </is>
      </c>
    </row>
    <row r="8" ht="9" customHeight="1"/>
    <row r="9" ht="26.25" customHeight="1">
      <c r="A9" s="89" t="inlineStr">
        <is>
          <t xml:space="preserve">  * [필수 수정 요망] 아래에 노란 영역에 메시지가 나오면 반드시 수정해야 합니다.</t>
        </is>
      </c>
    </row>
    <row r="10" ht="27" customHeight="1">
      <c r="A10" s="91">
        <f>IF(C10&lt;&gt;"","▶ 수정 요망","")</f>
        <v/>
      </c>
      <c r="B10" s="155" t="n"/>
      <c r="C10" s="87">
        <f>IF(AND($A$6&lt;&gt;3,$B$6&lt;&gt;"",$C$6&lt;=2,$Z$6&lt;20)," =&gt; 2학점 이하인 과목은 반드시 [수행평가 총비율]이 20%이상이 되어야 하는데 현재(Z6셀)이 ["&amp;$Z$6&amp;"%]입니다.","")</f>
        <v/>
      </c>
      <c r="D10" s="154" t="n"/>
      <c r="E10" s="154" t="n"/>
      <c r="F10" s="154" t="n"/>
      <c r="G10" s="154" t="n"/>
      <c r="H10" s="154" t="n"/>
      <c r="I10" s="154" t="n"/>
      <c r="J10" s="154" t="n"/>
      <c r="K10" s="154" t="n"/>
      <c r="L10" s="154" t="n"/>
      <c r="M10" s="154" t="n"/>
      <c r="N10" s="154" t="n"/>
      <c r="O10" s="154" t="n"/>
      <c r="P10" s="154" t="n"/>
      <c r="Q10" s="154" t="n"/>
      <c r="R10" s="154" t="n"/>
      <c r="S10" s="154" t="n"/>
      <c r="T10" s="154" t="n"/>
      <c r="U10" s="155" t="n"/>
    </row>
    <row r="11" ht="27" customHeight="1">
      <c r="A11" s="91">
        <f>IF(C11&lt;&gt;"","▶ 수정 요망","")</f>
        <v/>
      </c>
      <c r="B11" s="155" t="n"/>
      <c r="C11" s="88">
        <f>IF(AND($A$6&lt;&gt;3,$B$6&lt;&gt;"",$C$6&gt;=3,$AG$6&lt;30)," =&gt; 3학점 이상인 과목은 반드시 [지필평가의 서논술형+수행평가의 서논술형]이 30%이상이 되어야 하는데 현재(AG6셀)이 [" &amp; $AG$6 &amp; "%]입니다.","")</f>
        <v/>
      </c>
      <c r="D11" s="154" t="n"/>
      <c r="E11" s="154" t="n"/>
      <c r="F11" s="154" t="n"/>
      <c r="G11" s="154" t="n"/>
      <c r="H11" s="154" t="n"/>
      <c r="I11" s="154" t="n"/>
      <c r="J11" s="154" t="n"/>
      <c r="K11" s="154" t="n"/>
      <c r="L11" s="154" t="n"/>
      <c r="M11" s="154" t="n"/>
      <c r="N11" s="154" t="n"/>
      <c r="O11" s="154" t="n"/>
      <c r="P11" s="154" t="n"/>
      <c r="Q11" s="154" t="n"/>
      <c r="R11" s="154" t="n"/>
      <c r="S11" s="154" t="n"/>
      <c r="T11" s="154" t="n"/>
      <c r="U11" s="155" t="n"/>
    </row>
    <row r="12" ht="27" customHeight="1">
      <c r="A12" s="91">
        <f>IF(C12&lt;&gt;"","▶ 수정 요망","")</f>
        <v/>
      </c>
      <c r="B12" s="155" t="n"/>
      <c r="C12" s="87">
        <f>IF(AND($A$6&lt;&gt;3,$B$6&lt;&gt;"",$C$6&gt;=3,$Z$6&lt;40)," =&gt; 3단위 이상인 과목은 반드시 [수행평가 총비율]이 40%이상이 되어야 하는데 현재(Z6셀)이 [" &amp; $Z$6 &amp; "%]입니다.","")</f>
        <v/>
      </c>
      <c r="D12" s="154" t="n"/>
      <c r="E12" s="154" t="n"/>
      <c r="F12" s="154" t="n"/>
      <c r="G12" s="154" t="n"/>
      <c r="H12" s="154" t="n"/>
      <c r="I12" s="154" t="n"/>
      <c r="J12" s="154" t="n"/>
      <c r="K12" s="154" t="n"/>
      <c r="L12" s="154" t="n"/>
      <c r="M12" s="154" t="n"/>
      <c r="N12" s="154" t="n"/>
      <c r="O12" s="154" t="n"/>
      <c r="P12" s="154" t="n"/>
      <c r="Q12" s="154" t="n"/>
      <c r="R12" s="154" t="n"/>
      <c r="S12" s="154" t="n"/>
      <c r="T12" s="154" t="n"/>
      <c r="U12" s="155" t="n"/>
    </row>
    <row r="13" ht="27" customHeight="1">
      <c r="A13" s="91">
        <f>IF(C13&lt;&gt;"","▶ 수정 요망","")</f>
        <v/>
      </c>
      <c r="B13" s="155" t="n"/>
      <c r="C13" s="87">
        <f>IF(AND(B6&lt;&gt;"",AA6="")," =&gt; [성취평가 방식]을 입력(AA6셀)해 주세요.","")</f>
        <v/>
      </c>
      <c r="D13" s="154" t="n"/>
      <c r="E13" s="154" t="n"/>
      <c r="F13" s="154" t="n"/>
      <c r="G13" s="154" t="n"/>
      <c r="H13" s="154" t="n"/>
      <c r="I13" s="154" t="n"/>
      <c r="J13" s="154" t="n"/>
      <c r="K13" s="154" t="n"/>
      <c r="L13" s="154" t="n"/>
      <c r="M13" s="154" t="n"/>
      <c r="N13" s="154" t="n"/>
      <c r="O13" s="154" t="n"/>
      <c r="P13" s="154" t="n"/>
      <c r="Q13" s="154" t="n"/>
      <c r="R13" s="154" t="n"/>
      <c r="S13" s="154" t="n"/>
      <c r="T13" s="154" t="n"/>
      <c r="U13" s="155" t="n"/>
    </row>
    <row r="14" ht="27" customHeight="1">
      <c r="A14" s="91">
        <f>IF(C14&lt;&gt;"","▶ 수정 요망","")</f>
        <v/>
      </c>
      <c r="B14" s="155" t="n"/>
      <c r="C14" s="87">
        <f>IF(Z6&lt;&gt;0, IF(OR(AB6="",AC6="", AD6="")," =&gt; 맨 우측부분의 [수행평가 성취기준 점수]를 입력(AB6~AE6셀)해 주세요.",""),"")</f>
        <v/>
      </c>
      <c r="D14" s="154" t="n"/>
      <c r="E14" s="154" t="n"/>
      <c r="F14" s="154" t="n"/>
      <c r="G14" s="154" t="n"/>
      <c r="H14" s="154" t="n"/>
      <c r="I14" s="154" t="n"/>
      <c r="J14" s="154" t="n"/>
      <c r="K14" s="154" t="n"/>
      <c r="L14" s="154" t="n"/>
      <c r="M14" s="154" t="n"/>
      <c r="N14" s="154" t="n"/>
      <c r="O14" s="154" t="n"/>
      <c r="P14" s="154" t="n"/>
      <c r="Q14" s="154" t="n"/>
      <c r="R14" s="154" t="n"/>
      <c r="S14" s="154" t="n"/>
      <c r="T14" s="154" t="n"/>
      <c r="U14" s="155" t="n"/>
    </row>
  </sheetData>
  <mergeCells count="37">
    <mergeCell ref="K3:O3"/>
    <mergeCell ref="C11:U11"/>
    <mergeCell ref="C4:C5"/>
    <mergeCell ref="E4:E5"/>
    <mergeCell ref="A11:B11"/>
    <mergeCell ref="AG3:AG5"/>
    <mergeCell ref="O4:O5"/>
    <mergeCell ref="F3:J3"/>
    <mergeCell ref="D4:D5"/>
    <mergeCell ref="J4:J5"/>
    <mergeCell ref="C13:U13"/>
    <mergeCell ref="L4:L5"/>
    <mergeCell ref="P2:Z2"/>
    <mergeCell ref="B1:E2"/>
    <mergeCell ref="F1:AG1"/>
    <mergeCell ref="A12:B12"/>
    <mergeCell ref="A4:A5"/>
    <mergeCell ref="G4:G5"/>
    <mergeCell ref="C14:U14"/>
    <mergeCell ref="I4:I5"/>
    <mergeCell ref="K4:K5"/>
    <mergeCell ref="A14:B14"/>
    <mergeCell ref="AB2:AF4"/>
    <mergeCell ref="AA2:AA5"/>
    <mergeCell ref="Z3:Z5"/>
    <mergeCell ref="A9:U9"/>
    <mergeCell ref="C10:U10"/>
    <mergeCell ref="M4:M5"/>
    <mergeCell ref="B4:B5"/>
    <mergeCell ref="F4:F5"/>
    <mergeCell ref="F2:O2"/>
    <mergeCell ref="H4:H5"/>
    <mergeCell ref="N4:N5"/>
    <mergeCell ref="A10:B10"/>
    <mergeCell ref="A13:B13"/>
    <mergeCell ref="C12:U12"/>
    <mergeCell ref="A1:A2"/>
  </mergeCells>
  <conditionalFormatting sqref="C10:C14">
    <cfRule type="cellIs" priority="1" operator="equal" dxfId="2">
      <formula>"&lt;&gt;"""""</formula>
    </cfRule>
  </conditionalFormatting>
  <conditionalFormatting sqref="Q3:Y3">
    <cfRule type="cellIs" priority="2" operator="equal" dxfId="0">
      <formula>"서논술형"</formula>
    </cfRule>
  </conditionalFormatting>
  <dataValidations count="4">
    <dataValidation sqref="Q3:Y3" showDropDown="0" showInputMessage="1" showErrorMessage="1" allowBlank="1" type="list">
      <formula1>"서논술형, 구술발표, 토의토론, 프로젝트, 실험실습, 포트폴리오, 기타"</formula1>
    </dataValidation>
    <dataValidation sqref="AA6" showDropDown="0" showInputMessage="1" showErrorMessage="1" allowBlank="1" type="list">
      <formula1>"추정분할,고정분할"</formula1>
    </dataValidation>
    <dataValidation sqref="Q6:Y6" showDropDown="0" showInputMessage="1" showErrorMessage="1" allowBlank="1" promptTitle="[숫자 입력]" prompt="숫자만 입력해 주세요!" type="whole">
      <formula1>0</formula1>
      <formula2>100</formula2>
    </dataValidation>
    <dataValidation sqref="Q5:Y5" showDropDown="0" showInputMessage="1" showErrorMessage="1" allowBlank="1" promptTitle="여러 월에 시행하면~" prompt="예) 9월부터 10월까지 실시하면 :  9~10"/>
  </dataValidations>
  <pageMargins left="0" right="0" top="1.08" bottom="0" header="0" footer="0"/>
  <pageSetup orientation="landscape" paperSize="9" scale="4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3">
    <tabColor rgb="FFFFC000"/>
    <outlinePr summaryBelow="1" summaryRight="1"/>
    <pageSetUpPr fitToPage="1"/>
  </sheetPr>
  <dimension ref="A1:AG14"/>
  <sheetViews>
    <sheetView zoomScaleNormal="100" workbookViewId="0">
      <selection activeCell="C11" sqref="C11:T11"/>
    </sheetView>
  </sheetViews>
  <sheetFormatPr baseColWidth="8" defaultColWidth="8.8984375" defaultRowHeight="13.2"/>
  <cols>
    <col width="5.59765625" customWidth="1" style="1" min="1" max="1"/>
    <col width="10.69921875" customWidth="1" style="3" min="2" max="2"/>
    <col width="5" customWidth="1" style="1" min="3" max="3"/>
    <col width="7.69921875" customWidth="1" style="1" min="4" max="4"/>
    <col width="20.69921875" customWidth="1" style="1" min="5" max="5"/>
    <col width="5.8984375" customWidth="1" style="1" min="6" max="8"/>
    <col width="5.296875" customWidth="1" style="1" min="9" max="9"/>
    <col width="6.3984375" bestFit="1" customWidth="1" style="1" min="10" max="10"/>
    <col width="5.8984375" customWidth="1" style="1" min="11" max="13"/>
    <col width="5.296875" bestFit="1" customWidth="1" style="1" min="14" max="14"/>
    <col width="6.3984375" bestFit="1" customWidth="1" style="1" min="15" max="15"/>
    <col width="8.09765625" customWidth="1" style="1" min="16" max="16"/>
    <col width="7.3984375" customWidth="1" style="1" min="17" max="25"/>
    <col width="6.69921875" customWidth="1" style="1" min="26" max="26"/>
    <col width="8.8984375" customWidth="1" style="1" min="27" max="16384"/>
  </cols>
  <sheetData>
    <row r="1" ht="13.5" customHeight="1" thickBot="1">
      <c r="A1" s="132" t="inlineStr">
        <is>
          <t>공지</t>
        </is>
      </c>
      <c r="B1" s="121" t="inlineStr">
        <is>
          <t xml:space="preserve"> 모든 내용이 평가계획서와 일치해야 합니다.</t>
        </is>
      </c>
      <c r="F1" s="133" t="n"/>
    </row>
    <row r="2" ht="20.25" customHeight="1" thickBot="1">
      <c r="F2" s="146" t="inlineStr">
        <is>
          <t>정기시험</t>
        </is>
      </c>
      <c r="G2" s="147" t="n"/>
      <c r="H2" s="147" t="n"/>
      <c r="I2" s="147" t="n"/>
      <c r="J2" s="147" t="n"/>
      <c r="K2" s="147" t="n"/>
      <c r="L2" s="147" t="n"/>
      <c r="M2" s="147" t="n"/>
      <c r="N2" s="147" t="n"/>
      <c r="O2" s="148" t="n"/>
      <c r="P2" s="129" t="inlineStr">
        <is>
          <t>수행평가</t>
        </is>
      </c>
      <c r="Q2" s="149" t="n"/>
      <c r="R2" s="149" t="n"/>
      <c r="S2" s="149" t="n"/>
      <c r="T2" s="149" t="n"/>
      <c r="U2" s="149" t="n"/>
      <c r="V2" s="149" t="n"/>
      <c r="W2" s="149" t="n"/>
      <c r="X2" s="149" t="n"/>
      <c r="Y2" s="149" t="n"/>
      <c r="Z2" s="150" t="n"/>
      <c r="AA2" s="92" t="inlineStr">
        <is>
          <t>성취평가
방식</t>
        </is>
      </c>
      <c r="AB2" s="151" t="inlineStr">
        <is>
          <t>수행평가 성취기준 점수</t>
        </is>
      </c>
      <c r="AC2" s="149" t="n"/>
      <c r="AD2" s="149" t="n"/>
      <c r="AE2" s="149" t="n"/>
      <c r="AF2" s="152" t="n"/>
      <c r="AG2" s="7" t="inlineStr">
        <is>
          <t>확인사항</t>
        </is>
      </c>
    </row>
    <row r="3" ht="29.25" customHeight="1" thickBot="1">
      <c r="A3" s="6" t="n"/>
      <c r="B3" s="2" t="n"/>
      <c r="F3" s="153" t="inlineStr">
        <is>
          <t>중간고사</t>
        </is>
      </c>
      <c r="G3" s="154" t="n"/>
      <c r="H3" s="154" t="n"/>
      <c r="I3" s="154" t="n"/>
      <c r="J3" s="155" t="n"/>
      <c r="K3" s="156" t="inlineStr">
        <is>
          <t>기말고사</t>
        </is>
      </c>
      <c r="L3" s="154" t="n"/>
      <c r="M3" s="154" t="n"/>
      <c r="N3" s="154" t="n"/>
      <c r="O3" s="155" t="n"/>
      <c r="P3" s="58" t="inlineStr">
        <is>
          <t>유형선택</t>
        </is>
      </c>
      <c r="Q3" s="59" t="inlineStr">
        <is>
          <t>서논술형</t>
        </is>
      </c>
      <c r="R3" s="59" t="inlineStr">
        <is>
          <t>실험실습</t>
        </is>
      </c>
      <c r="S3" s="59" t="inlineStr">
        <is>
          <t>기타</t>
        </is>
      </c>
      <c r="T3" s="59" t="n"/>
      <c r="U3" s="59" t="n"/>
      <c r="V3" s="59" t="n"/>
      <c r="W3" s="59" t="n"/>
      <c r="X3" s="59" t="n"/>
      <c r="Y3" s="59" t="n"/>
      <c r="Z3" s="110" t="inlineStr">
        <is>
          <t>학기말
반영비율
합계
(%)</t>
        </is>
      </c>
      <c r="AA3" s="157" t="n"/>
      <c r="AB3" s="158" t="n"/>
      <c r="AF3" s="159" t="n"/>
      <c r="AG3" s="160" t="inlineStr">
        <is>
          <t>정기시험(서논술형) + 수행평가(서논술형) 학기말 반영 비율
(%)</t>
        </is>
      </c>
    </row>
    <row r="4" ht="33" customHeight="1">
      <c r="A4" s="111" t="inlineStr">
        <is>
          <t>학년</t>
        </is>
      </c>
      <c r="B4" s="113" t="inlineStr">
        <is>
          <t>과목명</t>
        </is>
      </c>
      <c r="C4" s="122" t="inlineStr">
        <is>
          <t>학점수</t>
        </is>
      </c>
      <c r="D4" s="122" t="inlineStr">
        <is>
          <t>작성자</t>
        </is>
      </c>
      <c r="E4" s="124" t="inlineStr">
        <is>
          <t>과목담당
전체교사명단</t>
        </is>
      </c>
      <c r="F4" s="115" t="inlineStr">
        <is>
          <t>선택형</t>
        </is>
      </c>
      <c r="G4" s="107" t="inlineStr">
        <is>
          <t>서논술형</t>
        </is>
      </c>
      <c r="H4" s="107" t="inlineStr">
        <is>
          <t>단답형
완성형</t>
        </is>
      </c>
      <c r="I4" s="108" t="inlineStr">
        <is>
          <t>합계
(점)</t>
        </is>
      </c>
      <c r="J4" s="108" t="inlineStr">
        <is>
          <t>학기말
반영비율
(%)</t>
        </is>
      </c>
      <c r="K4" s="107" t="inlineStr">
        <is>
          <t>선택형</t>
        </is>
      </c>
      <c r="L4" s="107" t="inlineStr">
        <is>
          <t>서논술형</t>
        </is>
      </c>
      <c r="M4" s="107" t="inlineStr">
        <is>
          <t>단답형
완성형</t>
        </is>
      </c>
      <c r="N4" s="108" t="inlineStr">
        <is>
          <t>합계
(점)</t>
        </is>
      </c>
      <c r="O4" s="109" t="inlineStr">
        <is>
          <t>학기말
반영비율
(%)</t>
        </is>
      </c>
      <c r="P4" s="29" t="inlineStr">
        <is>
          <t xml:space="preserve"> 영역명</t>
        </is>
      </c>
      <c r="Q4" s="4" t="inlineStr">
        <is>
          <t>물질의 규칙성과 결합</t>
        </is>
      </c>
      <c r="R4" s="4" t="inlineStr">
        <is>
          <t>도플러 효과</t>
        </is>
      </c>
      <c r="S4" s="4" t="inlineStr">
        <is>
          <t>우주의 나이</t>
        </is>
      </c>
      <c r="T4" s="4" t="n"/>
      <c r="U4" s="4" t="n"/>
      <c r="V4" s="4" t="n"/>
      <c r="W4" s="4" t="n"/>
      <c r="X4" s="4" t="n"/>
      <c r="Y4" s="4" t="n"/>
      <c r="Z4" s="161" t="n"/>
      <c r="AA4" s="157" t="n"/>
      <c r="AB4" s="162" t="n"/>
      <c r="AC4" s="163" t="n"/>
      <c r="AD4" s="163" t="n"/>
      <c r="AE4" s="163" t="n"/>
      <c r="AF4" s="164" t="n"/>
      <c r="AG4" s="157" t="n"/>
    </row>
    <row r="5" ht="29.25" customHeight="1">
      <c r="A5" s="165" t="n"/>
      <c r="B5" s="166" t="n"/>
      <c r="C5" s="166" t="n"/>
      <c r="D5" s="166" t="n"/>
      <c r="E5" s="167" t="n"/>
      <c r="F5" s="168" t="n"/>
      <c r="G5" s="166" t="n"/>
      <c r="H5" s="166" t="n"/>
      <c r="I5" s="166" t="n"/>
      <c r="J5" s="166" t="n"/>
      <c r="K5" s="166" t="n"/>
      <c r="L5" s="166" t="n"/>
      <c r="M5" s="166" t="n"/>
      <c r="N5" s="166" t="n"/>
      <c r="O5" s="167" t="n"/>
      <c r="P5" s="30" t="inlineStr">
        <is>
          <t>평가시기(월)</t>
        </is>
      </c>
      <c r="Q5" s="34" t="n">
        <v>4</v>
      </c>
      <c r="R5" s="34" t="n">
        <v>5</v>
      </c>
      <c r="S5" s="34" t="n">
        <v>6</v>
      </c>
      <c r="T5" s="34" t="n"/>
      <c r="U5" s="34" t="n"/>
      <c r="V5" s="34" t="n"/>
      <c r="W5" s="34" t="n"/>
      <c r="X5" s="34" t="n"/>
      <c r="Y5" s="34" t="n"/>
      <c r="Z5" s="167" t="n"/>
      <c r="AA5" s="169" t="n"/>
      <c r="AB5" s="12" t="inlineStr">
        <is>
          <t>A/B</t>
        </is>
      </c>
      <c r="AC5" s="13" t="inlineStr">
        <is>
          <t>B/C</t>
        </is>
      </c>
      <c r="AD5" s="13" t="inlineStr">
        <is>
          <t>C/D</t>
        </is>
      </c>
      <c r="AE5" s="27" t="inlineStr">
        <is>
          <t>D/E</t>
        </is>
      </c>
      <c r="AF5" s="14" t="inlineStr">
        <is>
          <t>E/I</t>
        </is>
      </c>
      <c r="AG5" s="169" t="n"/>
    </row>
    <row r="6" ht="27" customFormat="1" customHeight="1" s="5" thickBot="1">
      <c r="A6" s="174" t="n">
        <v>1</v>
      </c>
      <c r="B6" s="175" t="inlineStr">
        <is>
          <t>공통과학</t>
        </is>
      </c>
      <c r="C6" s="176" t="n">
        <v>3</v>
      </c>
      <c r="D6" s="176" t="inlineStr">
        <is>
          <t>홍길동</t>
        </is>
      </c>
      <c r="E6" s="177" t="inlineStr">
        <is>
          <t>홍길동, 박길동</t>
        </is>
      </c>
      <c r="F6" s="39" t="n">
        <v>60</v>
      </c>
      <c r="G6" s="40" t="n">
        <v>30</v>
      </c>
      <c r="H6" s="40" t="n">
        <v>10</v>
      </c>
      <c r="I6" s="21">
        <f>SUM(F6:H6)</f>
        <v/>
      </c>
      <c r="J6" s="40" t="n">
        <v>35</v>
      </c>
      <c r="K6" s="40" t="n">
        <v>60</v>
      </c>
      <c r="L6" s="40" t="n">
        <v>30</v>
      </c>
      <c r="M6" s="40" t="n">
        <v>10</v>
      </c>
      <c r="N6" s="21">
        <f>SUM(K6:M6)</f>
        <v/>
      </c>
      <c r="O6" s="11" t="n">
        <v>35</v>
      </c>
      <c r="P6" s="31" t="inlineStr">
        <is>
          <t>반영비율
(%)</t>
        </is>
      </c>
      <c r="Q6" s="40" t="n">
        <v>10</v>
      </c>
      <c r="R6" s="40" t="n">
        <v>10</v>
      </c>
      <c r="S6" s="40" t="n">
        <v>10</v>
      </c>
      <c r="T6" s="40" t="n"/>
      <c r="U6" s="40" t="n"/>
      <c r="V6" s="40" t="n"/>
      <c r="W6" s="40" t="n"/>
      <c r="X6" s="40" t="n"/>
      <c r="Y6" s="41" t="n"/>
      <c r="Z6" s="24">
        <f>SUM(P6:Y6)</f>
        <v/>
      </c>
      <c r="AA6" s="42" t="inlineStr">
        <is>
          <t>추정분할</t>
        </is>
      </c>
      <c r="AB6" s="43" t="n">
        <v>28</v>
      </c>
      <c r="AC6" s="44" t="n">
        <v>25</v>
      </c>
      <c r="AD6" s="44" t="n">
        <v>22</v>
      </c>
      <c r="AE6" s="45" t="n">
        <v>19</v>
      </c>
      <c r="AF6" s="46" t="n">
        <v>3</v>
      </c>
      <c r="AG6" s="20">
        <f>(J6*G6/100)+(O6*L6/100)+SUMPRODUCT((Q3:Y3="서논술형")*(Q6:Y6))</f>
        <v/>
      </c>
    </row>
    <row r="7" ht="28.5" customHeight="1"/>
    <row r="8" ht="39" customHeight="1"/>
    <row r="9" ht="26.25" customHeight="1">
      <c r="A9" s="134" t="inlineStr">
        <is>
          <t xml:space="preserve">  * [필수 수정 요망] 아래에 노란 영역에 메시지가 나오면 반드시 수정해야 합니다. (단, 예외 과목은 제외)</t>
        </is>
      </c>
      <c r="B9" s="154" t="n"/>
      <c r="C9" s="154" t="n"/>
      <c r="D9" s="154" t="n"/>
      <c r="E9" s="154" t="n"/>
      <c r="F9" s="154" t="n"/>
      <c r="G9" s="154" t="n"/>
      <c r="H9" s="154" t="n"/>
      <c r="I9" s="154" t="n"/>
      <c r="J9" s="154" t="n"/>
      <c r="K9" s="154" t="n"/>
      <c r="L9" s="154" t="n"/>
      <c r="M9" s="154" t="n"/>
      <c r="N9" s="154" t="n"/>
      <c r="O9" s="154" t="n"/>
      <c r="P9" s="154" t="n"/>
      <c r="Q9" s="154" t="n"/>
      <c r="R9" s="154" t="n"/>
      <c r="S9" s="154" t="n"/>
      <c r="T9" s="155" t="n"/>
    </row>
    <row r="10" ht="27" customHeight="1">
      <c r="A10" s="91">
        <f>IF(C10&lt;&gt;"","▶ 수정 요망","")</f>
        <v/>
      </c>
      <c r="B10" s="155" t="n"/>
      <c r="C10" s="87" t="n"/>
      <c r="D10" s="154" t="n"/>
      <c r="E10" s="154" t="n"/>
      <c r="F10" s="154" t="n"/>
      <c r="G10" s="154" t="n"/>
      <c r="H10" s="154" t="n"/>
      <c r="I10" s="154" t="n"/>
      <c r="J10" s="154" t="n"/>
      <c r="K10" s="154" t="n"/>
      <c r="L10" s="154" t="n"/>
      <c r="M10" s="154" t="n"/>
      <c r="N10" s="154" t="n"/>
      <c r="O10" s="154" t="n"/>
      <c r="P10" s="154" t="n"/>
      <c r="Q10" s="154" t="n"/>
      <c r="R10" s="154" t="n"/>
      <c r="S10" s="154" t="n"/>
      <c r="T10" s="155" t="n"/>
    </row>
    <row r="11" ht="27" customHeight="1">
      <c r="A11" s="91">
        <f>IF(C11&lt;&gt;"","▶ 수정 요망","")</f>
        <v/>
      </c>
      <c r="B11" s="155" t="n"/>
      <c r="C11" s="87" t="inlineStr">
        <is>
          <t>3학점 이상인 과목은 반드시 [지필평가의 서논술형+수행평가의 서논술형]이 30%이상이 되어야 합니다.</t>
        </is>
      </c>
      <c r="D11" s="154" t="n"/>
      <c r="E11" s="154" t="n"/>
      <c r="F11" s="154" t="n"/>
      <c r="G11" s="154" t="n"/>
      <c r="H11" s="154" t="n"/>
      <c r="I11" s="154" t="n"/>
      <c r="J11" s="154" t="n"/>
      <c r="K11" s="154" t="n"/>
      <c r="L11" s="154" t="n"/>
      <c r="M11" s="154" t="n"/>
      <c r="N11" s="154" t="n"/>
      <c r="O11" s="154" t="n"/>
      <c r="P11" s="154" t="n"/>
      <c r="Q11" s="154" t="n"/>
      <c r="R11" s="154" t="n"/>
      <c r="S11" s="154" t="n"/>
      <c r="T11" s="155" t="n"/>
    </row>
    <row r="12" ht="27" customHeight="1">
      <c r="A12" s="91">
        <f>IF(C12&lt;&gt;"","▶ 수정 요망","")</f>
        <v/>
      </c>
      <c r="B12" s="155" t="n"/>
      <c r="C12" s="87" t="n"/>
      <c r="D12" s="154" t="n"/>
      <c r="E12" s="154" t="n"/>
      <c r="F12" s="154" t="n"/>
      <c r="G12" s="154" t="n"/>
      <c r="H12" s="154" t="n"/>
      <c r="I12" s="154" t="n"/>
      <c r="J12" s="154" t="n"/>
      <c r="K12" s="154" t="n"/>
      <c r="L12" s="154" t="n"/>
      <c r="M12" s="154" t="n"/>
      <c r="N12" s="154" t="n"/>
      <c r="O12" s="154" t="n"/>
      <c r="P12" s="154" t="n"/>
      <c r="Q12" s="154" t="n"/>
      <c r="R12" s="154" t="n"/>
      <c r="S12" s="154" t="n"/>
      <c r="T12" s="155" t="n"/>
    </row>
    <row r="13" ht="27" customHeight="1">
      <c r="A13" s="91">
        <f>IF(C13&lt;&gt;"","▶ 수정 요망","")</f>
        <v/>
      </c>
      <c r="B13" s="155" t="n"/>
      <c r="C13" s="87" t="inlineStr">
        <is>
          <t>[성취평가 방식(추정분할, 고정분할)]을 반드시 입력 되어야 합니다.</t>
        </is>
      </c>
      <c r="D13" s="154" t="n"/>
      <c r="E13" s="154" t="n"/>
      <c r="F13" s="154" t="n"/>
      <c r="G13" s="154" t="n"/>
      <c r="H13" s="154" t="n"/>
      <c r="I13" s="154" t="n"/>
      <c r="J13" s="154" t="n"/>
      <c r="K13" s="154" t="n"/>
      <c r="L13" s="154" t="n"/>
      <c r="M13" s="154" t="n"/>
      <c r="N13" s="154" t="n"/>
      <c r="O13" s="154" t="n"/>
      <c r="P13" s="154" t="n"/>
      <c r="Q13" s="154" t="n"/>
      <c r="R13" s="154" t="n"/>
      <c r="S13" s="154" t="n"/>
      <c r="T13" s="155" t="n"/>
    </row>
    <row r="14" ht="27" customHeight="1">
      <c r="A14" s="91">
        <f>IF(C14&lt;&gt;"","▶ 수정 요망","")</f>
        <v/>
      </c>
      <c r="B14" s="155" t="n"/>
      <c r="C14" s="87" t="inlineStr">
        <is>
          <t>맨 우측부분의 [수행평가 성취기준 점수]를 입력해 주셔야 합니다.</t>
        </is>
      </c>
      <c r="D14" s="154" t="n"/>
      <c r="E14" s="154" t="n"/>
      <c r="F14" s="154" t="n"/>
      <c r="G14" s="154" t="n"/>
      <c r="H14" s="154" t="n"/>
      <c r="I14" s="154" t="n"/>
      <c r="J14" s="154" t="n"/>
      <c r="K14" s="154" t="n"/>
      <c r="L14" s="154" t="n"/>
      <c r="M14" s="154" t="n"/>
      <c r="N14" s="154" t="n"/>
      <c r="O14" s="154" t="n"/>
      <c r="P14" s="154" t="n"/>
      <c r="Q14" s="154" t="n"/>
      <c r="R14" s="154" t="n"/>
      <c r="S14" s="154" t="n"/>
      <c r="T14" s="155" t="n"/>
    </row>
  </sheetData>
  <mergeCells count="37">
    <mergeCell ref="K3:O3"/>
    <mergeCell ref="A9:T9"/>
    <mergeCell ref="C4:C5"/>
    <mergeCell ref="A11:B11"/>
    <mergeCell ref="C10:T10"/>
    <mergeCell ref="E4:E5"/>
    <mergeCell ref="AG3:AG5"/>
    <mergeCell ref="O4:O5"/>
    <mergeCell ref="C12:T12"/>
    <mergeCell ref="F3:J3"/>
    <mergeCell ref="C11:T11"/>
    <mergeCell ref="D4:D5"/>
    <mergeCell ref="J4:J5"/>
    <mergeCell ref="L4:L5"/>
    <mergeCell ref="P2:Z2"/>
    <mergeCell ref="B1:E2"/>
    <mergeCell ref="F1:AG1"/>
    <mergeCell ref="A12:B12"/>
    <mergeCell ref="A4:A5"/>
    <mergeCell ref="G4:G5"/>
    <mergeCell ref="I4:I5"/>
    <mergeCell ref="K4:K5"/>
    <mergeCell ref="A14:B14"/>
    <mergeCell ref="C13:T13"/>
    <mergeCell ref="AB2:AF4"/>
    <mergeCell ref="AA2:AA5"/>
    <mergeCell ref="Z3:Z5"/>
    <mergeCell ref="M4:M5"/>
    <mergeCell ref="B4:B5"/>
    <mergeCell ref="F4:F5"/>
    <mergeCell ref="A10:B10"/>
    <mergeCell ref="N4:N5"/>
    <mergeCell ref="H4:H5"/>
    <mergeCell ref="C14:T14"/>
    <mergeCell ref="A13:B13"/>
    <mergeCell ref="F2:O2"/>
    <mergeCell ref="A1:A2"/>
  </mergeCells>
  <conditionalFormatting sqref="C10:C14">
    <cfRule type="cellIs" priority="2" operator="equal" dxfId="2">
      <formula>"&lt;&gt;"""""</formula>
    </cfRule>
  </conditionalFormatting>
  <conditionalFormatting sqref="Q3:Y3">
    <cfRule type="cellIs" priority="1" operator="equal" dxfId="0">
      <formula>"서논술형"</formula>
    </cfRule>
  </conditionalFormatting>
  <dataValidations count="2">
    <dataValidation sqref="AA6" showDropDown="0" showInputMessage="1" showErrorMessage="1" allowBlank="1" type="list">
      <formula1>"추정분할,고정분할"</formula1>
    </dataValidation>
    <dataValidation sqref="Q3:Y3" showDropDown="0" showInputMessage="1" showErrorMessage="1" allowBlank="1" type="list">
      <formula1>"서논술형, 구술발표, 토의토론, 프로젝트, 실험실습, 포트폴리오, 기타"</formula1>
    </dataValidation>
  </dataValidations>
  <pageMargins left="0" right="0" top="1.08" bottom="0" header="0" footer="0"/>
  <pageSetup orientation="landscape" paperSize="9" scale="85"/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codeName="Sheet2">
    <tabColor theme="0"/>
    <outlinePr summaryBelow="1" summaryRight="1"/>
    <pageSetUpPr fitToPage="1"/>
  </sheetPr>
  <dimension ref="A1:AG15"/>
  <sheetViews>
    <sheetView zoomScaleNormal="100" workbookViewId="0">
      <selection activeCell="E9" sqref="E9"/>
    </sheetView>
  </sheetViews>
  <sheetFormatPr baseColWidth="8" defaultColWidth="8.8984375" defaultRowHeight="13.2"/>
  <cols>
    <col width="5.59765625" customWidth="1" style="1" min="1" max="1"/>
    <col width="10.69921875" customWidth="1" style="3" min="2" max="2"/>
    <col width="5" customWidth="1" style="1" min="3" max="3"/>
    <col width="7.69921875" customWidth="1" style="1" min="4" max="4"/>
    <col width="20.69921875" customWidth="1" style="1" min="5" max="5"/>
    <col width="6.69921875" customWidth="1" style="1" min="6" max="6"/>
    <col width="5.8984375" customWidth="1" style="1" min="7" max="8"/>
    <col width="5.296875" customWidth="1" style="1" min="9" max="9"/>
    <col width="6.3984375" bestFit="1" customWidth="1" style="1" min="10" max="10"/>
    <col width="5.8984375" customWidth="1" style="1" min="11" max="13"/>
    <col width="5.296875" bestFit="1" customWidth="1" style="1" min="14" max="14"/>
    <col width="6.3984375" bestFit="1" customWidth="1" style="1" min="15" max="15"/>
    <col width="9" customWidth="1" style="1" min="16" max="16"/>
    <col width="9" bestFit="1" customWidth="1" style="1" min="17" max="17"/>
    <col width="10" bestFit="1" customWidth="1" style="1" min="18" max="18"/>
    <col width="7.3984375" customWidth="1" style="1" min="19" max="23"/>
    <col width="9" customWidth="1" style="1" min="24" max="24"/>
    <col width="7.3984375" customWidth="1" style="1" min="25" max="25"/>
    <col width="6.69921875" customWidth="1" style="1" min="26" max="26"/>
    <col width="8.8984375" customWidth="1" style="1" min="27" max="31"/>
    <col width="0.69921875" customWidth="1" style="1" min="32" max="32"/>
    <col width="8.8984375" customWidth="1" style="1" min="33" max="16384"/>
  </cols>
  <sheetData>
    <row r="1" ht="13.5" customHeight="1" thickBot="1">
      <c r="A1" s="132" t="inlineStr">
        <is>
          <t>공지</t>
        </is>
      </c>
      <c r="B1" s="121" t="inlineStr">
        <is>
          <t xml:space="preserve"> 모든 내용이 평가계획서와 일치해야 합니다.</t>
        </is>
      </c>
      <c r="F1" s="133" t="n"/>
    </row>
    <row r="2" ht="20.25" customHeight="1" thickBot="1">
      <c r="F2" s="146" t="inlineStr">
        <is>
          <t>지필평가</t>
        </is>
      </c>
      <c r="G2" s="147" t="n"/>
      <c r="H2" s="147" t="n"/>
      <c r="I2" s="147" t="n"/>
      <c r="J2" s="147" t="n"/>
      <c r="K2" s="147" t="n"/>
      <c r="L2" s="147" t="n"/>
      <c r="M2" s="147" t="n"/>
      <c r="N2" s="147" t="n"/>
      <c r="O2" s="148" t="n"/>
      <c r="P2" s="129" t="inlineStr">
        <is>
          <t>수행평가</t>
        </is>
      </c>
      <c r="Q2" s="149" t="n"/>
      <c r="R2" s="149" t="n"/>
      <c r="S2" s="149" t="n"/>
      <c r="T2" s="149" t="n"/>
      <c r="U2" s="149" t="n"/>
      <c r="V2" s="149" t="n"/>
      <c r="W2" s="149" t="n"/>
      <c r="X2" s="149" t="n"/>
      <c r="Y2" s="149" t="n"/>
      <c r="Z2" s="150" t="n"/>
      <c r="AA2" s="92" t="inlineStr">
        <is>
          <t>성취평가
방식</t>
        </is>
      </c>
      <c r="AB2" s="151" t="inlineStr">
        <is>
          <t>수행평가 성취기준 점수</t>
        </is>
      </c>
      <c r="AC2" s="149" t="n"/>
      <c r="AD2" s="149" t="n"/>
      <c r="AE2" s="149" t="n"/>
      <c r="AF2" s="152" t="n"/>
      <c r="AG2" s="7" t="inlineStr">
        <is>
          <t>확인사항</t>
        </is>
      </c>
    </row>
    <row r="3" ht="29.25" customHeight="1" thickBot="1">
      <c r="A3" s="6" t="n"/>
      <c r="B3" s="2" t="n"/>
      <c r="F3" s="153" t="inlineStr">
        <is>
          <t>중간고사</t>
        </is>
      </c>
      <c r="G3" s="154" t="n"/>
      <c r="H3" s="154" t="n"/>
      <c r="I3" s="154" t="n"/>
      <c r="J3" s="155" t="n"/>
      <c r="K3" s="156" t="inlineStr">
        <is>
          <t>기말고사</t>
        </is>
      </c>
      <c r="L3" s="154" t="n"/>
      <c r="M3" s="154" t="n"/>
      <c r="N3" s="154" t="n"/>
      <c r="O3" s="155" t="n"/>
      <c r="P3" s="58" t="inlineStr">
        <is>
          <t>유형선택</t>
        </is>
      </c>
      <c r="Q3" s="178">
        <f>'★계획★(여기에 작성 요망)'!Q3</f>
        <v/>
      </c>
      <c r="R3" s="178">
        <f>'★계획★(여기에 작성 요망)'!R3</f>
        <v/>
      </c>
      <c r="S3" s="178">
        <f>'★계획★(여기에 작성 요망)'!S3</f>
        <v/>
      </c>
      <c r="T3" s="178">
        <f>'★계획★(여기에 작성 요망)'!T3</f>
        <v/>
      </c>
      <c r="U3" s="178">
        <f>'★계획★(여기에 작성 요망)'!U3</f>
        <v/>
      </c>
      <c r="V3" s="178">
        <f>'★계획★(여기에 작성 요망)'!V3</f>
        <v/>
      </c>
      <c r="W3" s="178">
        <f>'★계획★(여기에 작성 요망)'!W3</f>
        <v/>
      </c>
      <c r="X3" s="178">
        <f>'★계획★(여기에 작성 요망)'!X3</f>
        <v/>
      </c>
      <c r="Y3" s="178">
        <f>'★계획★(여기에 작성 요망)'!Y3</f>
        <v/>
      </c>
      <c r="Z3" s="110" t="inlineStr">
        <is>
          <t>학기말
반영비율
합계
(%)</t>
        </is>
      </c>
      <c r="AA3" s="157" t="n"/>
      <c r="AB3" s="158" t="n"/>
      <c r="AF3" s="159" t="n"/>
      <c r="AG3" s="160" t="inlineStr">
        <is>
          <t>지필평가(서논술형) + 수행평가(서논술형) 학기말 반영 비율
(%)</t>
        </is>
      </c>
    </row>
    <row r="4" ht="51" customHeight="1">
      <c r="A4" s="111" t="inlineStr">
        <is>
          <t>학년</t>
        </is>
      </c>
      <c r="B4" s="113" t="inlineStr">
        <is>
          <t>과목명</t>
        </is>
      </c>
      <c r="C4" s="122" t="inlineStr">
        <is>
          <t>단위수</t>
        </is>
      </c>
      <c r="D4" s="122" t="inlineStr">
        <is>
          <t>작성자</t>
        </is>
      </c>
      <c r="E4" s="124" t="inlineStr">
        <is>
          <t>과목담당
전체교사명단</t>
        </is>
      </c>
      <c r="F4" s="144" t="inlineStr">
        <is>
          <t>선택형</t>
        </is>
      </c>
      <c r="G4" s="107" t="inlineStr">
        <is>
          <t>서논술형</t>
        </is>
      </c>
      <c r="H4" s="107" t="inlineStr">
        <is>
          <t>단답형
완성형</t>
        </is>
      </c>
      <c r="I4" s="108" t="inlineStr">
        <is>
          <t>합계
(점)</t>
        </is>
      </c>
      <c r="J4" s="108" t="inlineStr">
        <is>
          <t>학기말
반영비율
(%)</t>
        </is>
      </c>
      <c r="K4" s="107" t="inlineStr">
        <is>
          <t>선택형</t>
        </is>
      </c>
      <c r="L4" s="107" t="inlineStr">
        <is>
          <t>서논술형</t>
        </is>
      </c>
      <c r="M4" s="107" t="inlineStr">
        <is>
          <t>단답형
완성형</t>
        </is>
      </c>
      <c r="N4" s="108" t="inlineStr">
        <is>
          <t>합계
(점)</t>
        </is>
      </c>
      <c r="O4" s="109" t="inlineStr">
        <is>
          <t>학기말
반영비율
(%)</t>
        </is>
      </c>
      <c r="P4" s="29" t="inlineStr">
        <is>
          <t xml:space="preserve"> 영역명</t>
        </is>
      </c>
      <c r="Q4" s="4">
        <f>IF('★계획★(여기에 작성 요망)'!Q4&lt;&gt;"",'★계획★(여기에 작성 요망)'!Q4,"")</f>
        <v/>
      </c>
      <c r="R4" s="4">
        <f>IF('★계획★(여기에 작성 요망)'!R4&lt;&gt;"",'★계획★(여기에 작성 요망)'!R4,"")</f>
        <v/>
      </c>
      <c r="S4" s="4">
        <f>IF('★계획★(여기에 작성 요망)'!S4&lt;&gt;"",'★계획★(여기에 작성 요망)'!S4,"")</f>
        <v/>
      </c>
      <c r="T4" s="4">
        <f>IF('★계획★(여기에 작성 요망)'!T4&lt;&gt;"",'★계획★(여기에 작성 요망)'!T4,"")</f>
        <v/>
      </c>
      <c r="U4" s="4">
        <f>IF('★계획★(여기에 작성 요망)'!U4&lt;&gt;"",'★계획★(여기에 작성 요망)'!U4,"")</f>
        <v/>
      </c>
      <c r="V4" s="4">
        <f>IF('★계획★(여기에 작성 요망)'!V4&lt;&gt;"",'★계획★(여기에 작성 요망)'!V4,"")</f>
        <v/>
      </c>
      <c r="W4" s="4">
        <f>IF('★계획★(여기에 작성 요망)'!W4&lt;&gt;"",'★계획★(여기에 작성 요망)'!W4,"")</f>
        <v/>
      </c>
      <c r="X4" s="4">
        <f>IF('★계획★(여기에 작성 요망)'!X4&lt;&gt;"",'★계획★(여기에 작성 요망)'!X4,"")</f>
        <v/>
      </c>
      <c r="Y4" s="4">
        <f>IF('★계획★(여기에 작성 요망)'!Y4&lt;&gt;"",'★계획★(여기에 작성 요망)'!Y4,"")</f>
        <v/>
      </c>
      <c r="Z4" s="161" t="n"/>
      <c r="AA4" s="157" t="n"/>
      <c r="AB4" s="162" t="n"/>
      <c r="AC4" s="163" t="n"/>
      <c r="AD4" s="163" t="n"/>
      <c r="AE4" s="163" t="n"/>
      <c r="AF4" s="164" t="n"/>
      <c r="AG4" s="157" t="n"/>
    </row>
    <row r="5" ht="29.25" customHeight="1">
      <c r="A5" s="165" t="n"/>
      <c r="B5" s="166" t="n"/>
      <c r="C5" s="166" t="n"/>
      <c r="D5" s="166" t="n"/>
      <c r="E5" s="167" t="n"/>
      <c r="F5" s="165" t="n"/>
      <c r="G5" s="166" t="n"/>
      <c r="H5" s="166" t="n"/>
      <c r="I5" s="166" t="n"/>
      <c r="J5" s="166" t="n"/>
      <c r="K5" s="166" t="n"/>
      <c r="L5" s="166" t="n"/>
      <c r="M5" s="166" t="n"/>
      <c r="N5" s="166" t="n"/>
      <c r="O5" s="167" t="n"/>
      <c r="P5" s="30" t="inlineStr">
        <is>
          <t>평가시기(월)</t>
        </is>
      </c>
      <c r="Q5" s="179">
        <f>IF('★계획★(여기에 작성 요망)'!Q5&lt;&gt;"",'★계획★(여기에 작성 요망)'!Q5,)</f>
        <v/>
      </c>
      <c r="R5" s="179">
        <f>IF('★계획★(여기에 작성 요망)'!R5&lt;&gt;"",'★계획★(여기에 작성 요망)'!R5,)</f>
        <v/>
      </c>
      <c r="S5" s="179">
        <f>IF('★계획★(여기에 작성 요망)'!S5&lt;&gt;"",'★계획★(여기에 작성 요망)'!S5,)</f>
        <v/>
      </c>
      <c r="T5" s="179">
        <f>IF('★계획★(여기에 작성 요망)'!T5&lt;&gt;"",'★계획★(여기에 작성 요망)'!T5,)</f>
        <v/>
      </c>
      <c r="U5" s="179">
        <f>IF('★계획★(여기에 작성 요망)'!U5&lt;&gt;"",'★계획★(여기에 작성 요망)'!U5,)</f>
        <v/>
      </c>
      <c r="V5" s="179">
        <f>IF('★계획★(여기에 작성 요망)'!V5&lt;&gt;"",'★계획★(여기에 작성 요망)'!V5,)</f>
        <v/>
      </c>
      <c r="W5" s="179">
        <f>IF('★계획★(여기에 작성 요망)'!W5&lt;&gt;"",'★계획★(여기에 작성 요망)'!W5,)</f>
        <v/>
      </c>
      <c r="X5" s="179">
        <f>IF('★계획★(여기에 작성 요망)'!X5&lt;&gt;"",'★계획★(여기에 작성 요망)'!X5,)</f>
        <v/>
      </c>
      <c r="Y5" s="179">
        <f>IF('★계획★(여기에 작성 요망)'!Y5&lt;&gt;"",'★계획★(여기에 작성 요망)'!Y5,)</f>
        <v/>
      </c>
      <c r="Z5" s="167" t="n"/>
      <c r="AA5" s="169" t="n"/>
      <c r="AB5" s="12" t="inlineStr">
        <is>
          <t>A/B</t>
        </is>
      </c>
      <c r="AC5" s="13" t="inlineStr">
        <is>
          <t>B/C</t>
        </is>
      </c>
      <c r="AD5" s="13" t="inlineStr">
        <is>
          <t>C/D</t>
        </is>
      </c>
      <c r="AE5" s="27" t="inlineStr">
        <is>
          <t>D/E</t>
        </is>
      </c>
      <c r="AF5" s="14" t="n"/>
      <c r="AG5" s="169" t="n"/>
    </row>
    <row r="6" ht="27" customFormat="1" customHeight="1" s="5" thickBot="1">
      <c r="A6" s="180">
        <f>'★계획★(여기에 작성 요망)'!A6</f>
        <v/>
      </c>
      <c r="B6" s="181">
        <f>'★계획★(여기에 작성 요망)'!B6</f>
        <v/>
      </c>
      <c r="C6" s="182">
        <f>'★계획★(여기에 작성 요망)'!C6</f>
        <v/>
      </c>
      <c r="D6" s="182">
        <f>'★계획★(여기에 작성 요망)'!D6</f>
        <v/>
      </c>
      <c r="E6" s="183">
        <f>'★계획★(여기에 작성 요망)'!E6</f>
        <v/>
      </c>
      <c r="F6" s="184">
        <f>'★계획★(여기에 작성 요망)'!F6</f>
        <v/>
      </c>
      <c r="G6" s="185">
        <f>'★계획★(여기에 작성 요망)'!G6</f>
        <v/>
      </c>
      <c r="H6" s="185">
        <f>'★계획★(여기에 작성 요망)'!H6</f>
        <v/>
      </c>
      <c r="I6" s="186">
        <f>'★계획★(여기에 작성 요망)'!I6</f>
        <v/>
      </c>
      <c r="J6" s="185">
        <f>'★계획★(여기에 작성 요망)'!J6</f>
        <v/>
      </c>
      <c r="K6" s="185">
        <f>'★계획★(여기에 작성 요망)'!K6</f>
        <v/>
      </c>
      <c r="L6" s="185">
        <f>'★계획★(여기에 작성 요망)'!L6</f>
        <v/>
      </c>
      <c r="M6" s="185">
        <f>'★계획★(여기에 작성 요망)'!M6</f>
        <v/>
      </c>
      <c r="N6" s="186">
        <f>'★계획★(여기에 작성 요망)'!N6</f>
        <v/>
      </c>
      <c r="O6" s="187">
        <f>'★계획★(여기에 작성 요망)'!O6</f>
        <v/>
      </c>
      <c r="P6" s="188" t="inlineStr">
        <is>
          <t>반영비율
(%)</t>
        </is>
      </c>
      <c r="Q6" s="189">
        <f>IF('★계획★(여기에 작성 요망)'!Q6&lt;&gt;"",'★계획★(여기에 작성 요망)'!Q6,)</f>
        <v/>
      </c>
      <c r="R6" s="189">
        <f>IF('★계획★(여기에 작성 요망)'!R6&lt;&gt;"",'★계획★(여기에 작성 요망)'!R6,)</f>
        <v/>
      </c>
      <c r="S6" s="189">
        <f>IF('★계획★(여기에 작성 요망)'!S6&lt;&gt;"",'★계획★(여기에 작성 요망)'!S6,)</f>
        <v/>
      </c>
      <c r="T6" s="189">
        <f>IF('★계획★(여기에 작성 요망)'!T6&lt;&gt;"",'★계획★(여기에 작성 요망)'!T6,)</f>
        <v/>
      </c>
      <c r="U6" s="189">
        <f>IF('★계획★(여기에 작성 요망)'!U6&lt;&gt;"",'★계획★(여기에 작성 요망)'!U6,)</f>
        <v/>
      </c>
      <c r="V6" s="189">
        <f>IF('★계획★(여기에 작성 요망)'!V6&lt;&gt;"",'★계획★(여기에 작성 요망)'!V6,)</f>
        <v/>
      </c>
      <c r="W6" s="189">
        <f>IF('★계획★(여기에 작성 요망)'!W6&lt;&gt;"",'★계획★(여기에 작성 요망)'!W6,)</f>
        <v/>
      </c>
      <c r="X6" s="189">
        <f>IF('★계획★(여기에 작성 요망)'!X6&lt;&gt;"",'★계획★(여기에 작성 요망)'!X6,)</f>
        <v/>
      </c>
      <c r="Y6" s="189">
        <f>IF('★계획★(여기에 작성 요망)'!Y6&lt;&gt;"",'★계획★(여기에 작성 요망)'!Y6,)</f>
        <v/>
      </c>
      <c r="Z6" s="190">
        <f>'★계획★(여기에 작성 요망)'!Z6</f>
        <v/>
      </c>
      <c r="AA6" s="191">
        <f>'★계획★(여기에 작성 요망)'!AA6</f>
        <v/>
      </c>
      <c r="AB6" s="192">
        <f>'★계획★(여기에 작성 요망)'!AB6</f>
        <v/>
      </c>
      <c r="AC6" s="193">
        <f>'★계획★(여기에 작성 요망)'!AC6</f>
        <v/>
      </c>
      <c r="AD6" s="193">
        <f>'★계획★(여기에 작성 요망)'!AD6</f>
        <v/>
      </c>
      <c r="AE6" s="194">
        <f>'★계획★(여기에 작성 요망)'!AE6</f>
        <v/>
      </c>
      <c r="AF6" s="195">
        <f>'★계획★(여기에 작성 요망)'!AF6</f>
        <v/>
      </c>
      <c r="AG6" s="196">
        <f>'★계획★(여기에 작성 요망)'!AG6</f>
        <v/>
      </c>
    </row>
    <row r="7" ht="27" customFormat="1" customHeight="1" s="5">
      <c r="A7" s="197" t="n"/>
      <c r="B7" s="198" t="n"/>
      <c r="C7" s="197" t="n"/>
      <c r="D7" s="197" t="n"/>
      <c r="E7" s="199" t="n"/>
      <c r="F7" s="51" t="n"/>
      <c r="G7" s="51" t="n"/>
      <c r="H7" s="51" t="n"/>
      <c r="I7" s="51" t="n"/>
      <c r="J7" s="51" t="n"/>
      <c r="K7" s="51" t="n"/>
      <c r="L7" s="51" t="n"/>
      <c r="M7" s="51" t="n"/>
      <c r="N7" s="51" t="n"/>
      <c r="O7" s="51" t="n"/>
      <c r="P7" s="52" t="n"/>
      <c r="Q7" s="52" t="n"/>
      <c r="R7" s="52" t="n"/>
      <c r="S7" s="52" t="n"/>
      <c r="T7" s="52" t="n"/>
      <c r="U7" s="52" t="n"/>
      <c r="V7" s="52" t="n"/>
      <c r="W7" s="52" t="n"/>
      <c r="X7" s="52" t="n"/>
      <c r="Y7" s="51" t="n"/>
      <c r="Z7" s="51" t="n"/>
      <c r="AA7" s="51" t="n"/>
      <c r="AB7" s="53" t="n"/>
      <c r="AC7" s="53" t="n"/>
      <c r="AD7" s="53" t="n"/>
      <c r="AE7" s="53" t="n"/>
      <c r="AF7" s="53" t="n"/>
      <c r="AG7" s="51" t="n"/>
    </row>
    <row r="8" ht="13.5" customHeight="1">
      <c r="P8" s="142" t="inlineStr">
        <is>
          <t>수행평가</t>
        </is>
      </c>
      <c r="Q8" s="155" t="n"/>
      <c r="R8" s="140" t="inlineStr">
        <is>
          <t>학기말
반영비율
합계
(%)</t>
        </is>
      </c>
      <c r="S8" s="140" t="inlineStr">
        <is>
          <t>성취평가방식</t>
        </is>
      </c>
      <c r="T8" s="142" t="inlineStr">
        <is>
          <t>수행평가 성취기준점수</t>
        </is>
      </c>
      <c r="U8" s="154" t="n"/>
      <c r="V8" s="154" t="n"/>
      <c r="W8" s="154" t="n"/>
      <c r="X8" s="155" t="n"/>
      <c r="Y8" s="140" t="inlineStr">
        <is>
          <t>서논술형
(지필+수행)</t>
        </is>
      </c>
    </row>
    <row r="9" ht="33.75" customHeight="1">
      <c r="A9" s="54" t="inlineStr">
        <is>
          <t>[별도 엑셀 파일로 학습평가를 모으기 위함]</t>
        </is>
      </c>
      <c r="P9" s="82" t="inlineStr">
        <is>
          <t>서논술형</t>
        </is>
      </c>
      <c r="Q9" s="82" t="inlineStr">
        <is>
          <t>그 외 유형</t>
        </is>
      </c>
      <c r="R9" s="166" t="n"/>
      <c r="S9" s="166" t="n"/>
      <c r="T9" s="82">
        <f>AB5</f>
        <v/>
      </c>
      <c r="U9" s="82">
        <f>AC5</f>
        <v/>
      </c>
      <c r="V9" s="82">
        <f>AD5</f>
        <v/>
      </c>
      <c r="W9" s="82">
        <f>AE5</f>
        <v/>
      </c>
      <c r="X9" s="82">
        <f>AF5</f>
        <v/>
      </c>
      <c r="Y9" s="166" t="n"/>
    </row>
    <row r="10" ht="13.5" customFormat="1" customHeight="1" s="200">
      <c r="A10" s="201">
        <f>A6</f>
        <v/>
      </c>
      <c r="B10" s="202">
        <f>B6</f>
        <v/>
      </c>
      <c r="C10" s="201">
        <f>C6</f>
        <v/>
      </c>
      <c r="D10" s="201">
        <f>D6</f>
        <v/>
      </c>
      <c r="E10" s="201">
        <f>E6</f>
        <v/>
      </c>
      <c r="F10" s="201">
        <f>F6</f>
        <v/>
      </c>
      <c r="G10" s="201">
        <f>G6</f>
        <v/>
      </c>
      <c r="H10" s="201">
        <f>H6</f>
        <v/>
      </c>
      <c r="I10" s="201">
        <f>I6</f>
        <v/>
      </c>
      <c r="J10" s="201">
        <f>J6</f>
        <v/>
      </c>
      <c r="K10" s="201">
        <f>K6</f>
        <v/>
      </c>
      <c r="L10" s="201">
        <f>L6</f>
        <v/>
      </c>
      <c r="M10" s="201">
        <f>M6</f>
        <v/>
      </c>
      <c r="N10" s="201">
        <f>N6</f>
        <v/>
      </c>
      <c r="O10" s="201">
        <f>O6</f>
        <v/>
      </c>
      <c r="P10" s="201">
        <f>SUMPRODUCT((Q3:Y3="서논술형")*(Q6:Y6))</f>
        <v/>
      </c>
      <c r="Q10" s="201">
        <f>SUMPRODUCT((Q3:Y3&lt;&gt;"서논술형")*(Q6:Y6))</f>
        <v/>
      </c>
      <c r="R10" s="201">
        <f>Z6</f>
        <v/>
      </c>
      <c r="S10" s="201">
        <f>AA6</f>
        <v/>
      </c>
      <c r="T10" s="201">
        <f>AB6</f>
        <v/>
      </c>
      <c r="U10" s="201">
        <f>AC6</f>
        <v/>
      </c>
      <c r="V10" s="201">
        <f>AD6</f>
        <v/>
      </c>
      <c r="W10" s="201">
        <f>AE6</f>
        <v/>
      </c>
      <c r="X10" s="201">
        <f>AF6</f>
        <v/>
      </c>
      <c r="Y10" s="203">
        <f>AG6</f>
        <v/>
      </c>
    </row>
    <row r="11" ht="9" customHeight="1"/>
    <row r="12" ht="7.5" customHeight="1"/>
    <row r="13" ht="7.5" customHeight="1"/>
    <row r="14" ht="39.6" customHeight="1">
      <c r="A14" s="54" t="inlineStr">
        <is>
          <t>[별도 엑셀 파일로 수행평가 영역명을 모으기 위함]</t>
        </is>
      </c>
      <c r="B14" s="55" t="n"/>
      <c r="C14" s="56" t="n"/>
      <c r="D14" s="56" t="n"/>
      <c r="E14" s="56" t="n"/>
      <c r="F14" s="142" t="inlineStr">
        <is>
          <t>수행평가</t>
        </is>
      </c>
      <c r="G14" s="154" t="n"/>
      <c r="H14" s="154" t="n"/>
      <c r="I14" s="154" t="n"/>
      <c r="J14" s="154" t="n"/>
      <c r="K14" s="154" t="n"/>
      <c r="L14" s="154" t="n"/>
      <c r="M14" s="154" t="n"/>
      <c r="N14" s="155" t="n"/>
      <c r="O14" s="140" t="inlineStr">
        <is>
          <t>학기말
반영비율</t>
        </is>
      </c>
    </row>
    <row r="15" ht="84" customFormat="1" customHeight="1" s="200">
      <c r="A15" s="204">
        <f>A10</f>
        <v/>
      </c>
      <c r="B15" s="204">
        <f>B10</f>
        <v/>
      </c>
      <c r="C15" s="204">
        <f>C10</f>
        <v/>
      </c>
      <c r="D15" s="204">
        <f>D10</f>
        <v/>
      </c>
      <c r="E15" s="204">
        <f>E10</f>
        <v/>
      </c>
      <c r="F15" s="205">
        <f>IF(AND(Q3="서논술형",Q4&lt;&gt;""),"(★)"&amp;Q4&amp;"("&amp;Q5&amp;"월, "&amp;Q6&amp;"%)",IF(AND(Q3&lt;&gt;"서논술형",Q4&lt;&gt;""),Q4&amp;"("&amp;Q5&amp;"월, "&amp;Q6&amp;"%)",""))</f>
        <v/>
      </c>
      <c r="G15" s="205">
        <f>IF(AND(R3="서논술형",R4&lt;&gt;""),"(★)"&amp;R4&amp;"("&amp;R5&amp;"월, "&amp;R6&amp;"%)",IF(AND(R3&lt;&gt;"서논술형",R4&lt;&gt;""),R4&amp;"("&amp;R5&amp;"월, "&amp;R6&amp;"%)",""))</f>
        <v/>
      </c>
      <c r="H15" s="205">
        <f>IF(AND(S3="서논술형",S4&lt;&gt;""),"(★)"&amp;S4&amp;"("&amp;S5&amp;"월, "&amp;S6&amp;"%)",IF(AND(S3&lt;&gt;"서논술형",S4&lt;&gt;""),S4&amp;"("&amp;S5&amp;"월, "&amp;S6&amp;"%)",""))</f>
        <v/>
      </c>
      <c r="I15" s="205">
        <f>IF(AND(T3="서논술형",T4&lt;&gt;""),"(★)"&amp;T4&amp;"("&amp;T5&amp;"월, "&amp;T6&amp;"%)",IF(AND(T3&lt;&gt;"서논술형",T4&lt;&gt;""),T4&amp;"("&amp;T5&amp;"월, "&amp;T6&amp;"%)",""))</f>
        <v/>
      </c>
      <c r="J15" s="205">
        <f>IF(AND(U3="서논술형",U4&lt;&gt;""),"(★)"&amp;U4&amp;"("&amp;U5&amp;"월, "&amp;U6&amp;"%)",IF(AND(U3&lt;&gt;"서논술형",U4&lt;&gt;""),U4&amp;"("&amp;U5&amp;"월, "&amp;U6&amp;"%)",""))</f>
        <v/>
      </c>
      <c r="K15" s="205">
        <f>IF(AND(V3="서논술형",V4&lt;&gt;""),"(★)"&amp;V4&amp;"("&amp;V5&amp;"월, "&amp;V6&amp;"%)",IF(AND(V3&lt;&gt;"서논술형",V4&lt;&gt;""),V4&amp;"("&amp;V5&amp;"월, "&amp;V6&amp;"%)",""))</f>
        <v/>
      </c>
      <c r="L15" s="205">
        <f>IF(AND(W3="서논술형",W4&lt;&gt;""),"(★)"&amp;W4&amp;"("&amp;W5&amp;"월, "&amp;W6&amp;"%)",IF(AND(W3&lt;&gt;"서논술형",W4&lt;&gt;""),W4&amp;"("&amp;W5&amp;"월, "&amp;W6&amp;"%)",""))</f>
        <v/>
      </c>
      <c r="M15" s="205">
        <f>IF(AND(X3="서논술형",X4&lt;&gt;""),"(★)"&amp;X4&amp;"("&amp;X5&amp;"월, "&amp;X6&amp;"%)",IF(AND(X3&lt;&gt;"서논술형",X4&lt;&gt;""),X4&amp;"("&amp;X5&amp;"월, "&amp;X6&amp;"%)",""))</f>
        <v/>
      </c>
      <c r="N15" s="205">
        <f>IF(AND(Y3="서논술형",Y4&lt;&gt;""),"(★)"&amp;Y4&amp;"("&amp;Y5&amp;"월, "&amp;Y6&amp;"%)",IF(AND(Y3&lt;&gt;"서논술형",Y4&lt;&gt;""),Y4&amp;"("&amp;Y5&amp;"월, "&amp;Y6&amp;"%)",""))</f>
        <v/>
      </c>
      <c r="O15" s="204">
        <f>Z6</f>
        <v/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32">
    <mergeCell ref="K3:O3"/>
    <mergeCell ref="C4:C5"/>
    <mergeCell ref="E4:E5"/>
    <mergeCell ref="AG3:AG5"/>
    <mergeCell ref="O4:O5"/>
    <mergeCell ref="S8:S9"/>
    <mergeCell ref="F3:J3"/>
    <mergeCell ref="D4:D5"/>
    <mergeCell ref="J4:J5"/>
    <mergeCell ref="P8:Q8"/>
    <mergeCell ref="L4:L5"/>
    <mergeCell ref="P2:Z2"/>
    <mergeCell ref="B1:E2"/>
    <mergeCell ref="F1:AG1"/>
    <mergeCell ref="A4:A5"/>
    <mergeCell ref="G4:G5"/>
    <mergeCell ref="I4:I5"/>
    <mergeCell ref="F14:N14"/>
    <mergeCell ref="K4:K5"/>
    <mergeCell ref="AB2:AF4"/>
    <mergeCell ref="AA2:AA5"/>
    <mergeCell ref="Z3:Z5"/>
    <mergeCell ref="T8:X8"/>
    <mergeCell ref="M4:M5"/>
    <mergeCell ref="B4:B5"/>
    <mergeCell ref="Y8:Y9"/>
    <mergeCell ref="F4:F5"/>
    <mergeCell ref="F2:O2"/>
    <mergeCell ref="H4:H5"/>
    <mergeCell ref="N4:N5"/>
    <mergeCell ref="R8:R9"/>
    <mergeCell ref="A1:A2"/>
  </mergeCells>
  <conditionalFormatting sqref="Q3:Y3">
    <cfRule type="cellIs" priority="2" operator="equal" dxfId="0">
      <formula>"서논술형"</formula>
    </cfRule>
  </conditionalFormatting>
  <dataValidations count="2">
    <dataValidation sqref="Y7" showDropDown="0" showInputMessage="1" showErrorMessage="1" allowBlank="1" promptTitle="[숫자 입력]" prompt="숫자만 입력해 주세요!" type="whole">
      <formula1>0</formula1>
      <formula2>100</formula2>
    </dataValidation>
    <dataValidation sqref="AA6:AA7" showDropDown="0" showInputMessage="1" showErrorMessage="1" allowBlank="1" type="list">
      <formula1>"교과분할,고정분할"</formula1>
    </dataValidation>
  </dataValidations>
  <pageMargins left="0" right="0" top="1.08" bottom="0" header="0" footer="0"/>
  <pageSetup orientation="landscape" paperSize="9" scale="8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Report Designer</dc:creator>
  <dc:title>Report Desiger Excel File</dc:title>
  <dc:description>Report Designer Excel File</dc:description>
  <dcterms:created xsi:type="dcterms:W3CDTF">2012-08-29T16:47:13Z</dcterms:created>
  <dcterms:modified xsi:type="dcterms:W3CDTF">2026-07-26T10:46:10Z</dcterms:modified>
  <cp:lastModifiedBy>김은상</cp:lastModifiedBy>
  <cp:lastPrinted>2013-06-25T05:38:51Z</cp:lastPrinted>
</cp:coreProperties>
</file>